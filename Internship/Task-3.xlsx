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<sst xmlns="http://schemas.openxmlformats.org/spreadsheetml/2006/main" count="373" uniqueCount="233">
  <si>
    <t>Client_ID</t>
  </si>
  <si>
    <t>Client_Name</t>
  </si>
  <si>
    <t>Client_Services</t>
  </si>
  <si>
    <t>Project_Budget</t>
  </si>
  <si>
    <t>Project_Status</t>
  </si>
  <si>
    <t>Start_Date</t>
  </si>
  <si>
    <t>End_Date</t>
  </si>
  <si>
    <t>Client_City</t>
  </si>
  <si>
    <t>Lead_Sources</t>
  </si>
  <si>
    <t>Payment_Status</t>
  </si>
  <si>
    <t>Client_Rating</t>
  </si>
  <si>
    <t>Total_Sum</t>
  </si>
  <si>
    <t>Average</t>
  </si>
  <si>
    <t>Max</t>
  </si>
  <si>
    <t>Min</t>
  </si>
  <si>
    <t>Count</t>
  </si>
  <si>
    <t>highest/lowest budge</t>
  </si>
  <si>
    <t>Vlookuo/Xlookup</t>
  </si>
  <si>
    <t>CountA</t>
  </si>
  <si>
    <t>AverageIF</t>
  </si>
  <si>
    <t>SUMIF</t>
  </si>
  <si>
    <t>23AI-01</t>
  </si>
  <si>
    <t>M.Ali</t>
  </si>
  <si>
    <t>Data Analysis</t>
  </si>
  <si>
    <t>In Progress</t>
  </si>
  <si>
    <t>Nawabshah</t>
  </si>
  <si>
    <t>Referral</t>
  </si>
  <si>
    <t>un-paid</t>
  </si>
  <si>
    <t>23AI-02</t>
  </si>
  <si>
    <t>Shahzaib</t>
  </si>
  <si>
    <t>Web Development</t>
  </si>
  <si>
    <t>Karachi</t>
  </si>
  <si>
    <t>Google Ads</t>
  </si>
  <si>
    <t>23AI-03</t>
  </si>
  <si>
    <t>Adil</t>
  </si>
  <si>
    <t>AI Consultation</t>
  </si>
  <si>
    <t>Islamabad</t>
  </si>
  <si>
    <t>Email</t>
  </si>
  <si>
    <t>23AI-04</t>
  </si>
  <si>
    <t>Dilawar</t>
  </si>
  <si>
    <t>Cyber Security</t>
  </si>
  <si>
    <t>Lahore</t>
  </si>
  <si>
    <t>Instagram</t>
  </si>
  <si>
    <t>23AI-05</t>
  </si>
  <si>
    <t>Yasir</t>
  </si>
  <si>
    <t>Cloud Computing</t>
  </si>
  <si>
    <t>Multan</t>
  </si>
  <si>
    <t>Facebook</t>
  </si>
  <si>
    <t>23AI-06</t>
  </si>
  <si>
    <t>Mohsin</t>
  </si>
  <si>
    <t>App Development</t>
  </si>
  <si>
    <t>Hydrabad</t>
  </si>
  <si>
    <t>Cold Call</t>
  </si>
  <si>
    <t>23AI-07</t>
  </si>
  <si>
    <t>Azan</t>
  </si>
  <si>
    <t>SEO Services</t>
  </si>
  <si>
    <t>Pindi</t>
  </si>
  <si>
    <t>23AI-08</t>
  </si>
  <si>
    <t>Faraz</t>
  </si>
  <si>
    <t>IT Support</t>
  </si>
  <si>
    <t>Sukkur</t>
  </si>
  <si>
    <t>LinkedIn</t>
  </si>
  <si>
    <t>23AI-09</t>
  </si>
  <si>
    <t>Rehan</t>
  </si>
  <si>
    <t>UI/UX Design</t>
  </si>
  <si>
    <t>Moro</t>
  </si>
  <si>
    <t>Google Search</t>
  </si>
  <si>
    <t>23AI-10</t>
  </si>
  <si>
    <t>Abbas</t>
  </si>
  <si>
    <t>E-commerce Solutions</t>
  </si>
  <si>
    <t>Dadu</t>
  </si>
  <si>
    <t>23AI-11</t>
  </si>
  <si>
    <t>Jahangeer</t>
  </si>
  <si>
    <t>Digital Marketing</t>
  </si>
  <si>
    <t>Faisalabad</t>
  </si>
  <si>
    <t>23AI-12</t>
  </si>
  <si>
    <t>Shayan</t>
  </si>
  <si>
    <t>Software Engineering</t>
  </si>
  <si>
    <t>Quetta</t>
  </si>
  <si>
    <t>Tech Event</t>
  </si>
  <si>
    <t>23AI-13</t>
  </si>
  <si>
    <t>Rehman</t>
  </si>
  <si>
    <t>Game Development</t>
  </si>
  <si>
    <t>Peshawar</t>
  </si>
  <si>
    <t>23AI-14</t>
  </si>
  <si>
    <t>Rizwan</t>
  </si>
  <si>
    <t>Machine Learning</t>
  </si>
  <si>
    <t>Sialkot</t>
  </si>
  <si>
    <t>23AI-15</t>
  </si>
  <si>
    <t>Farhan</t>
  </si>
  <si>
    <t>Graphic Designing</t>
  </si>
  <si>
    <t>Gujranwala</t>
  </si>
  <si>
    <t>23AI-16</t>
  </si>
  <si>
    <t>Shoaib</t>
  </si>
  <si>
    <t>Network Administration</t>
  </si>
  <si>
    <t>Larkana</t>
  </si>
  <si>
    <t>23AI-17</t>
  </si>
  <si>
    <t>Huzaifa</t>
  </si>
  <si>
    <t>IT Consulting</t>
  </si>
  <si>
    <t>Mirpur</t>
  </si>
  <si>
    <t>23AI-18</t>
  </si>
  <si>
    <t>Izhar</t>
  </si>
  <si>
    <t>Business Intelligence</t>
  </si>
  <si>
    <t>Thatta</t>
  </si>
  <si>
    <t>23AI-19</t>
  </si>
  <si>
    <t>Umer</t>
  </si>
  <si>
    <t>Content Strategy</t>
  </si>
  <si>
    <t>Badeen</t>
  </si>
  <si>
    <t>23AI-20</t>
  </si>
  <si>
    <t>Adnan</t>
  </si>
  <si>
    <t>Web Design</t>
  </si>
  <si>
    <t>Khairpur</t>
  </si>
  <si>
    <t>23AI-21</t>
  </si>
  <si>
    <t>Fayaz</t>
  </si>
  <si>
    <t>Database Management</t>
  </si>
  <si>
    <t>Sargoda</t>
  </si>
  <si>
    <t>23AI-22</t>
  </si>
  <si>
    <t>Muzamil</t>
  </si>
  <si>
    <t>Cloud Migration</t>
  </si>
  <si>
    <t>Bahawalpur</t>
  </si>
  <si>
    <t>23AI-23</t>
  </si>
  <si>
    <t>Amjad</t>
  </si>
  <si>
    <t>Abbottabad</t>
  </si>
  <si>
    <t>23AI-24</t>
  </si>
  <si>
    <t>Imran</t>
  </si>
  <si>
    <t>SEO Optimization</t>
  </si>
  <si>
    <t>Gawadar</t>
  </si>
  <si>
    <t>23AI-25</t>
  </si>
  <si>
    <t>Kamran</t>
  </si>
  <si>
    <t>Tech Support</t>
  </si>
  <si>
    <t>Sahiwal</t>
  </si>
  <si>
    <t>23AI-26</t>
  </si>
  <si>
    <t>Sanaullah</t>
  </si>
  <si>
    <t>E-commerce Setup</t>
  </si>
  <si>
    <t>Jhelum</t>
  </si>
  <si>
    <t>23AI-27</t>
  </si>
  <si>
    <t>Rashid</t>
  </si>
  <si>
    <t>Social Media Management</t>
  </si>
  <si>
    <t>Gujrat</t>
  </si>
  <si>
    <t>23AI-28</t>
  </si>
  <si>
    <t>Rayay</t>
  </si>
  <si>
    <t>Software Testing</t>
  </si>
  <si>
    <t>Sheikhupura</t>
  </si>
  <si>
    <t>23AI-29</t>
  </si>
  <si>
    <t>Wassey</t>
  </si>
  <si>
    <t>AI Integration</t>
  </si>
  <si>
    <t>Oara</t>
  </si>
  <si>
    <t>23AI-30</t>
  </si>
  <si>
    <t>Shafay</t>
  </si>
  <si>
    <t>IT Infrastructure</t>
  </si>
  <si>
    <t>Kasur</t>
  </si>
  <si>
    <t>23AI-31</t>
  </si>
  <si>
    <t>Manan</t>
  </si>
  <si>
    <t>Content Writing</t>
  </si>
  <si>
    <t>Chiniot</t>
  </si>
  <si>
    <t>23AI-32</t>
  </si>
  <si>
    <t>Hanan</t>
  </si>
  <si>
    <t>Backend Development</t>
  </si>
  <si>
    <t>Kamoke</t>
  </si>
  <si>
    <t>23AI-33</t>
  </si>
  <si>
    <t>Zohaib</t>
  </si>
  <si>
    <t>Cloud Storage Solutions</t>
  </si>
  <si>
    <t>Marden</t>
  </si>
  <si>
    <t>23AI-34</t>
  </si>
  <si>
    <t>Arman</t>
  </si>
  <si>
    <t>Cyber Security Training</t>
  </si>
  <si>
    <t>Kohat</t>
  </si>
  <si>
    <t>23AI-35</t>
  </si>
  <si>
    <t>Noman</t>
  </si>
  <si>
    <t>Mobile App QA</t>
  </si>
  <si>
    <t>Daira-ismail khan</t>
  </si>
  <si>
    <t>23AI-36</t>
  </si>
  <si>
    <t>Sohail</t>
  </si>
  <si>
    <t>Local SEO</t>
  </si>
  <si>
    <t>Gilgit</t>
  </si>
  <si>
    <t>23AI-37</t>
  </si>
  <si>
    <t>Amir</t>
  </si>
  <si>
    <t>Remote IT Support</t>
  </si>
  <si>
    <t>Sakardu</t>
  </si>
  <si>
    <t>23AI-38</t>
  </si>
  <si>
    <t>Shakir</t>
  </si>
  <si>
    <t>Product Prototyping</t>
  </si>
  <si>
    <t>Muzaffarabad</t>
  </si>
  <si>
    <t>23AI-39</t>
  </si>
  <si>
    <t>Shahbaz</t>
  </si>
  <si>
    <t xml:space="preserve">Digital Transformation </t>
  </si>
  <si>
    <t>Shahdadkot</t>
  </si>
  <si>
    <t>23AI-40</t>
  </si>
  <si>
    <t>Zamin</t>
  </si>
  <si>
    <t>Data Engineering</t>
  </si>
  <si>
    <t>Kandhkot</t>
  </si>
  <si>
    <t>23AI-41</t>
  </si>
  <si>
    <t>Salman</t>
  </si>
  <si>
    <t>Predictive Modeling</t>
  </si>
  <si>
    <t>Kamber</t>
  </si>
  <si>
    <t>23AI-42</t>
  </si>
  <si>
    <t>Zohan</t>
  </si>
  <si>
    <t>DevOps Pipeline Setup</t>
  </si>
  <si>
    <t>Sehwan</t>
  </si>
  <si>
    <t>23AI-43</t>
  </si>
  <si>
    <t>Ayan</t>
  </si>
  <si>
    <t>Blockchain Development</t>
  </si>
  <si>
    <t>Tando-adam</t>
  </si>
  <si>
    <t>23AI-44</t>
  </si>
  <si>
    <t>Rohail</t>
  </si>
  <si>
    <t>API Integration Services</t>
  </si>
  <si>
    <t>Sanghar</t>
  </si>
  <si>
    <t>23AI-45</t>
  </si>
  <si>
    <t>Nazeer</t>
  </si>
  <si>
    <t>IT Disaster Recovery</t>
  </si>
  <si>
    <t>Umerkot</t>
  </si>
  <si>
    <t>23AI-46</t>
  </si>
  <si>
    <t>Tariq</t>
  </si>
  <si>
    <t>ERP System Implementation</t>
  </si>
  <si>
    <t>Matiari</t>
  </si>
  <si>
    <t>23AI-47</t>
  </si>
  <si>
    <t>Nasir</t>
  </si>
  <si>
    <t>Business Automation</t>
  </si>
  <si>
    <t>Attock</t>
  </si>
  <si>
    <t>23AI-48</t>
  </si>
  <si>
    <t>Hussain</t>
  </si>
  <si>
    <t>Generative AI Solutions</t>
  </si>
  <si>
    <t>Murree</t>
  </si>
  <si>
    <t>23AI-49</t>
  </si>
  <si>
    <t>Hasnain</t>
  </si>
  <si>
    <t>Big Data Analytics</t>
  </si>
  <si>
    <t>Vehari</t>
  </si>
  <si>
    <t>23AI-50</t>
  </si>
  <si>
    <t>Farman</t>
  </si>
  <si>
    <t>Natural Language Processing</t>
  </si>
  <si>
    <t>Taxila</t>
  </si>
  <si>
    <t>Task 2: CoreTech Business Dataset</t>
  </si>
  <si>
    <t>A business dataset was created using Microsoft Excel containing 50 records and 12 columns. The dataset includes client information, project details, budget, status, payment information, and ratings. This dataset can be used for data analysis and visualization purposes in Power BI and Excel.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</si>
</sst>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15"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5"/>
  <sheetViews>
    <sheetView tabSelected="1" zoomScale="80" zoomScaleNormal="80" topLeftCell="C1" workbookViewId="0">
      <selection activeCell="U3" sqref="U3"/>
    </sheetView>
  </sheetViews>
  <sheetFormatPr defaultColWidth="9" defaultRowHeight="15"/>
  <cols>
    <col min="1" max="1" width="10.2857142857143" customWidth="1"/>
    <col min="2" max="2" width="12.5714285714286" customWidth="1"/>
    <col min="3" max="3" width="25.4285714285714" customWidth="1"/>
    <col min="4" max="4" width="14.1428571428571" customWidth="1"/>
    <col min="5" max="5" width="14.4285714285714" customWidth="1"/>
    <col min="6" max="6" width="11.1428571428571" customWidth="1"/>
    <col min="7" max="7" width="10.8571428571429" customWidth="1"/>
    <col min="8" max="8" width="15.8571428571429" customWidth="1"/>
    <col min="9" max="9" width="13.5714285714286" customWidth="1"/>
    <col min="10" max="10" width="15.2857142857143" customWidth="1"/>
    <col min="11" max="11" width="12.8571428571429" customWidth="1"/>
    <col min="12" max="12" width="10.8571428571429" customWidth="1"/>
    <col min="17" max="17" width="19.5714285714286" customWidth="1"/>
    <col min="18" max="18" width="18" customWidth="1"/>
    <col min="20" max="20" width="12.8571428571429"/>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v>2500</v>
      </c>
      <c r="E2" t="s">
        <v>24</v>
      </c>
      <c r="F2" s="2">
        <v>46176</v>
      </c>
      <c r="G2" s="2">
        <v>46204</v>
      </c>
      <c r="H2" t="s">
        <v>25</v>
      </c>
      <c r="I2" t="s">
        <v>26</v>
      </c>
      <c r="J2" t="s">
        <v>27</v>
      </c>
      <c r="K2">
        <v>5</v>
      </c>
      <c r="L2">
        <f>SUM(D2:D54)</f>
        <v>412200</v>
      </c>
      <c r="M2">
        <f>AVERAGE(D2:D54)</f>
        <v>8244</v>
      </c>
      <c r="N2">
        <f>MAX(D2:D54)</f>
        <v>45000</v>
      </c>
      <c r="O2">
        <f>MIN(D2:D54)</f>
        <v>900</v>
      </c>
      <c r="P2">
        <f>COUNT(D2:D54)</f>
        <v>50</v>
      </c>
      <c r="Q2" t="str">
        <f>IF(D2&gt;10000,"High Budget","Low Budget")</f>
        <v>Low Budget</v>
      </c>
      <c r="R2" t="str">
        <f>VLOOKUP("23AI-01",A2:K54,2,FALSE)</f>
        <v>M.Ali</v>
      </c>
      <c r="S2">
        <f>COUNTA(B2:B54)</f>
        <v>50</v>
      </c>
      <c r="T2">
        <f>AVERAGEIF(I2:I54,"Referral",D2:D54)</f>
        <v>11861.5384615385</v>
      </c>
      <c r="U2">
        <f>SUMIF(I2:I54,"Referral",D2:D54)</f>
        <v>154200</v>
      </c>
    </row>
    <row r="3" spans="1:21">
      <c r="A3" t="s">
        <v>28</v>
      </c>
      <c r="B3" t="s">
        <v>29</v>
      </c>
      <c r="C3" t="s">
        <v>30</v>
      </c>
      <c r="D3">
        <v>4500</v>
      </c>
      <c r="E3" t="s">
        <v>24</v>
      </c>
      <c r="F3" s="2">
        <v>46177</v>
      </c>
      <c r="G3" s="2">
        <v>46205</v>
      </c>
      <c r="H3" t="s">
        <v>31</v>
      </c>
      <c r="I3" t="s">
        <v>32</v>
      </c>
      <c r="J3" t="s">
        <v>27</v>
      </c>
      <c r="K3">
        <v>5</v>
      </c>
    </row>
    <row r="4" spans="1:21">
      <c r="A4" t="s">
        <v>33</v>
      </c>
      <c r="B4" t="s">
        <v>34</v>
      </c>
      <c r="C4" t="s">
        <v>35</v>
      </c>
      <c r="D4">
        <v>8000</v>
      </c>
      <c r="E4" t="s">
        <v>24</v>
      </c>
      <c r="F4" s="2">
        <v>46178</v>
      </c>
      <c r="G4" s="2">
        <v>46206</v>
      </c>
      <c r="H4" t="s">
        <v>36</v>
      </c>
      <c r="I4" t="s">
        <v>37</v>
      </c>
      <c r="J4" t="s">
        <v>27</v>
      </c>
      <c r="K4">
        <v>5</v>
      </c>
    </row>
    <row r="5" spans="1:21">
      <c r="A5" t="s">
        <v>38</v>
      </c>
      <c r="B5" t="s">
        <v>39</v>
      </c>
      <c r="C5" t="s">
        <v>40</v>
      </c>
      <c r="D5">
        <v>900</v>
      </c>
      <c r="E5" t="s">
        <v>24</v>
      </c>
      <c r="F5" s="2">
        <v>46179</v>
      </c>
      <c r="G5" s="2">
        <v>46207</v>
      </c>
      <c r="H5" t="s">
        <v>41</v>
      </c>
      <c r="I5" t="s">
        <v>42</v>
      </c>
      <c r="J5" t="s">
        <v>27</v>
      </c>
      <c r="K5">
        <v>5</v>
      </c>
    </row>
    <row r="6" spans="1:21">
      <c r="A6" t="s">
        <v>43</v>
      </c>
      <c r="B6" t="s">
        <v>44</v>
      </c>
      <c r="C6" t="s">
        <v>45</v>
      </c>
      <c r="D6">
        <v>3200</v>
      </c>
      <c r="E6" t="s">
        <v>24</v>
      </c>
      <c r="F6" s="2">
        <v>46180</v>
      </c>
      <c r="G6" s="2">
        <v>46208</v>
      </c>
      <c r="H6" t="s">
        <v>46</v>
      </c>
      <c r="I6" t="s">
        <v>47</v>
      </c>
      <c r="J6" t="s">
        <v>27</v>
      </c>
      <c r="K6">
        <v>5</v>
      </c>
    </row>
    <row r="7" spans="1:21">
      <c r="A7" t="s">
        <v>48</v>
      </c>
      <c r="B7" t="s">
        <v>49</v>
      </c>
      <c r="C7" t="s">
        <v>50</v>
      </c>
      <c r="D7">
        <v>6000</v>
      </c>
      <c r="E7" t="s">
        <v>24</v>
      </c>
      <c r="F7" s="2">
        <v>46181</v>
      </c>
      <c r="G7" s="2">
        <v>46209</v>
      </c>
      <c r="H7" t="s">
        <v>51</v>
      </c>
      <c r="I7" t="s">
        <v>52</v>
      </c>
      <c r="J7" t="s">
        <v>27</v>
      </c>
      <c r="K7">
        <v>5</v>
      </c>
    </row>
    <row r="8" spans="1:21">
      <c r="A8" t="s">
        <v>53</v>
      </c>
      <c r="B8" t="s">
        <v>54</v>
      </c>
      <c r="C8" t="s">
        <v>55</v>
      </c>
      <c r="D8">
        <v>1500</v>
      </c>
      <c r="E8" t="s">
        <v>24</v>
      </c>
      <c r="F8" s="2">
        <v>46182</v>
      </c>
      <c r="G8" s="2">
        <v>46210</v>
      </c>
      <c r="H8" t="s">
        <v>56</v>
      </c>
      <c r="I8" t="s">
        <v>26</v>
      </c>
      <c r="J8" t="s">
        <v>27</v>
      </c>
      <c r="K8">
        <v>5</v>
      </c>
    </row>
    <row r="9" spans="1:21">
      <c r="A9" t="s">
        <v>57</v>
      </c>
      <c r="B9" t="s">
        <v>58</v>
      </c>
      <c r="C9" t="s">
        <v>59</v>
      </c>
      <c r="D9">
        <v>11000</v>
      </c>
      <c r="E9" t="s">
        <v>24</v>
      </c>
      <c r="F9" s="2">
        <v>46183</v>
      </c>
      <c r="G9" s="2">
        <v>46211</v>
      </c>
      <c r="H9" t="s">
        <v>60</v>
      </c>
      <c r="I9" t="s">
        <v>61</v>
      </c>
      <c r="J9" t="s">
        <v>27</v>
      </c>
      <c r="K9">
        <v>5</v>
      </c>
    </row>
    <row r="10" spans="1:21">
      <c r="A10" t="s">
        <v>62</v>
      </c>
      <c r="B10" t="s">
        <v>63</v>
      </c>
      <c r="C10" t="s">
        <v>64</v>
      </c>
      <c r="D10">
        <v>1100</v>
      </c>
      <c r="E10" t="s">
        <v>24</v>
      </c>
      <c r="F10" s="2">
        <v>46184</v>
      </c>
      <c r="G10" s="2">
        <v>46212</v>
      </c>
      <c r="H10" t="s">
        <v>65</v>
      </c>
      <c r="I10" t="s">
        <v>66</v>
      </c>
      <c r="J10" t="s">
        <v>27</v>
      </c>
      <c r="K10">
        <v>5</v>
      </c>
    </row>
    <row r="11" spans="1:21">
      <c r="A11" t="s">
        <v>67</v>
      </c>
      <c r="B11" t="s">
        <v>68</v>
      </c>
      <c r="C11" t="s">
        <v>69</v>
      </c>
      <c r="D11">
        <v>2000</v>
      </c>
      <c r="E11" t="s">
        <v>24</v>
      </c>
      <c r="F11" s="2">
        <v>46185</v>
      </c>
      <c r="G11" s="2">
        <v>46213</v>
      </c>
      <c r="H11" t="s">
        <v>70</v>
      </c>
      <c r="I11" t="s">
        <v>37</v>
      </c>
      <c r="J11" t="s">
        <v>27</v>
      </c>
      <c r="K11">
        <v>5</v>
      </c>
    </row>
    <row r="12" spans="1:21">
      <c r="A12" t="s">
        <v>71</v>
      </c>
      <c r="B12" t="s">
        <v>72</v>
      </c>
      <c r="C12" t="s">
        <v>73</v>
      </c>
      <c r="D12">
        <v>9500</v>
      </c>
      <c r="E12" t="s">
        <v>24</v>
      </c>
      <c r="F12" s="2">
        <v>46186</v>
      </c>
      <c r="G12" s="2">
        <v>46214</v>
      </c>
      <c r="H12" t="s">
        <v>74</v>
      </c>
      <c r="I12" t="s">
        <v>61</v>
      </c>
      <c r="J12" t="s">
        <v>27</v>
      </c>
      <c r="K12">
        <v>5</v>
      </c>
    </row>
    <row r="13" spans="1:21">
      <c r="A13" t="s">
        <v>75</v>
      </c>
      <c r="B13" t="s">
        <v>76</v>
      </c>
      <c r="C13" t="s">
        <v>77</v>
      </c>
      <c r="D13">
        <v>7000</v>
      </c>
      <c r="E13" t="s">
        <v>24</v>
      </c>
      <c r="F13" s="2">
        <v>46187</v>
      </c>
      <c r="G13" s="2">
        <v>46215</v>
      </c>
      <c r="H13" t="s">
        <v>78</v>
      </c>
      <c r="I13" t="s">
        <v>79</v>
      </c>
      <c r="J13" t="s">
        <v>27</v>
      </c>
      <c r="K13">
        <v>5</v>
      </c>
    </row>
    <row r="14" spans="1:21">
      <c r="A14" t="s">
        <v>80</v>
      </c>
      <c r="B14" t="s">
        <v>81</v>
      </c>
      <c r="C14" t="s">
        <v>82</v>
      </c>
      <c r="D14">
        <v>3800</v>
      </c>
      <c r="E14" t="s">
        <v>24</v>
      </c>
      <c r="F14" s="2">
        <v>46188</v>
      </c>
      <c r="G14" s="2">
        <v>46216</v>
      </c>
      <c r="H14" t="s">
        <v>83</v>
      </c>
      <c r="I14" t="s">
        <v>47</v>
      </c>
      <c r="J14" t="s">
        <v>27</v>
      </c>
      <c r="K14">
        <v>5</v>
      </c>
    </row>
    <row r="15" spans="1:21">
      <c r="A15" t="s">
        <v>84</v>
      </c>
      <c r="B15" t="s">
        <v>85</v>
      </c>
      <c r="C15" t="s">
        <v>86</v>
      </c>
      <c r="D15">
        <v>15000</v>
      </c>
      <c r="E15" t="s">
        <v>24</v>
      </c>
      <c r="F15" s="2">
        <v>46189</v>
      </c>
      <c r="G15" s="2">
        <v>46217</v>
      </c>
      <c r="H15" t="s">
        <v>87</v>
      </c>
      <c r="I15" t="s">
        <v>26</v>
      </c>
      <c r="J15" t="s">
        <v>27</v>
      </c>
      <c r="K15">
        <v>5</v>
      </c>
    </row>
    <row r="16" spans="1:21">
      <c r="A16" t="s">
        <v>88</v>
      </c>
      <c r="B16" t="s">
        <v>89</v>
      </c>
      <c r="C16" t="s">
        <v>90</v>
      </c>
      <c r="D16">
        <v>5500</v>
      </c>
      <c r="E16" t="s">
        <v>24</v>
      </c>
      <c r="F16" s="2">
        <v>46190</v>
      </c>
      <c r="G16" s="2">
        <v>46218</v>
      </c>
      <c r="H16" t="s">
        <v>91</v>
      </c>
      <c r="I16" t="s">
        <v>32</v>
      </c>
      <c r="J16" t="s">
        <v>27</v>
      </c>
      <c r="K16">
        <v>5</v>
      </c>
    </row>
    <row r="17" spans="1:11">
      <c r="A17" t="s">
        <v>92</v>
      </c>
      <c r="B17" t="s">
        <v>93</v>
      </c>
      <c r="C17" t="s">
        <v>94</v>
      </c>
      <c r="D17">
        <v>1300</v>
      </c>
      <c r="E17" t="s">
        <v>24</v>
      </c>
      <c r="F17" s="2">
        <v>46191</v>
      </c>
      <c r="G17" s="2">
        <v>46219</v>
      </c>
      <c r="H17" t="s">
        <v>95</v>
      </c>
      <c r="I17" t="s">
        <v>42</v>
      </c>
      <c r="J17" t="s">
        <v>27</v>
      </c>
      <c r="K17">
        <v>5</v>
      </c>
    </row>
    <row r="18" spans="1:11">
      <c r="A18" t="s">
        <v>96</v>
      </c>
      <c r="B18" t="s">
        <v>97</v>
      </c>
      <c r="C18" t="s">
        <v>98</v>
      </c>
      <c r="D18">
        <v>7200</v>
      </c>
      <c r="E18" t="s">
        <v>24</v>
      </c>
      <c r="F18" s="2">
        <v>46192</v>
      </c>
      <c r="G18" s="2">
        <v>46220</v>
      </c>
      <c r="H18" t="s">
        <v>99</v>
      </c>
      <c r="I18" t="s">
        <v>26</v>
      </c>
      <c r="J18" t="s">
        <v>27</v>
      </c>
      <c r="K18">
        <v>5</v>
      </c>
    </row>
    <row r="19" spans="1:11">
      <c r="A19" t="s">
        <v>100</v>
      </c>
      <c r="B19" t="s">
        <v>101</v>
      </c>
      <c r="C19" t="s">
        <v>102</v>
      </c>
      <c r="D19">
        <v>6500</v>
      </c>
      <c r="E19" t="s">
        <v>24</v>
      </c>
      <c r="F19" s="2">
        <v>46193</v>
      </c>
      <c r="G19" s="2">
        <v>46221</v>
      </c>
      <c r="H19" t="s">
        <v>103</v>
      </c>
      <c r="I19" t="s">
        <v>37</v>
      </c>
      <c r="J19" t="s">
        <v>27</v>
      </c>
      <c r="K19">
        <v>5</v>
      </c>
    </row>
    <row r="20" spans="1:11">
      <c r="A20" t="s">
        <v>104</v>
      </c>
      <c r="B20" t="s">
        <v>105</v>
      </c>
      <c r="C20" t="s">
        <v>106</v>
      </c>
      <c r="D20">
        <v>12000</v>
      </c>
      <c r="E20" t="s">
        <v>24</v>
      </c>
      <c r="F20" s="2">
        <v>46194</v>
      </c>
      <c r="G20" s="2">
        <v>46222</v>
      </c>
      <c r="H20" t="s">
        <v>107</v>
      </c>
      <c r="I20" t="s">
        <v>26</v>
      </c>
      <c r="J20" t="s">
        <v>27</v>
      </c>
      <c r="K20">
        <v>5</v>
      </c>
    </row>
    <row r="21" spans="1:11">
      <c r="A21" t="s">
        <v>108</v>
      </c>
      <c r="B21" t="s">
        <v>109</v>
      </c>
      <c r="C21" t="s">
        <v>110</v>
      </c>
      <c r="D21">
        <v>4200</v>
      </c>
      <c r="E21" t="s">
        <v>24</v>
      </c>
      <c r="F21" s="2">
        <v>46195</v>
      </c>
      <c r="G21" s="2">
        <v>46223</v>
      </c>
      <c r="H21" t="s">
        <v>111</v>
      </c>
      <c r="I21" t="s">
        <v>47</v>
      </c>
      <c r="J21" t="s">
        <v>27</v>
      </c>
      <c r="K21">
        <v>5</v>
      </c>
    </row>
    <row r="22" spans="1:11">
      <c r="A22" t="s">
        <v>112</v>
      </c>
      <c r="B22" t="s">
        <v>113</v>
      </c>
      <c r="C22" t="s">
        <v>114</v>
      </c>
      <c r="D22">
        <v>25000</v>
      </c>
      <c r="E22" t="s">
        <v>24</v>
      </c>
      <c r="F22" s="2">
        <v>46196</v>
      </c>
      <c r="G22" s="2">
        <v>46224</v>
      </c>
      <c r="H22" t="s">
        <v>115</v>
      </c>
      <c r="I22" t="s">
        <v>26</v>
      </c>
      <c r="J22" t="s">
        <v>27</v>
      </c>
      <c r="K22">
        <v>5</v>
      </c>
    </row>
    <row r="23" spans="1:11">
      <c r="A23" t="s">
        <v>116</v>
      </c>
      <c r="B23" t="s">
        <v>117</v>
      </c>
      <c r="C23" t="s">
        <v>118</v>
      </c>
      <c r="D23">
        <v>2800</v>
      </c>
      <c r="E23" t="s">
        <v>24</v>
      </c>
      <c r="F23" s="2">
        <v>46197</v>
      </c>
      <c r="G23" s="2">
        <v>46225</v>
      </c>
      <c r="H23" t="s">
        <v>119</v>
      </c>
      <c r="I23" t="s">
        <v>42</v>
      </c>
      <c r="J23" t="s">
        <v>27</v>
      </c>
      <c r="K23">
        <v>5</v>
      </c>
    </row>
    <row r="24" spans="1:11">
      <c r="A24" t="s">
        <v>120</v>
      </c>
      <c r="B24" t="s">
        <v>121</v>
      </c>
      <c r="C24" t="s">
        <v>50</v>
      </c>
      <c r="D24">
        <v>2200</v>
      </c>
      <c r="E24" t="s">
        <v>24</v>
      </c>
      <c r="F24" s="2">
        <v>46198</v>
      </c>
      <c r="G24" s="2">
        <v>46226</v>
      </c>
      <c r="H24" t="s">
        <v>122</v>
      </c>
      <c r="I24" t="s">
        <v>52</v>
      </c>
      <c r="J24" t="s">
        <v>27</v>
      </c>
      <c r="K24">
        <v>5</v>
      </c>
    </row>
    <row r="25" spans="1:11">
      <c r="A25" t="s">
        <v>123</v>
      </c>
      <c r="B25" t="s">
        <v>124</v>
      </c>
      <c r="C25" t="s">
        <v>125</v>
      </c>
      <c r="D25">
        <v>18000</v>
      </c>
      <c r="E25" t="s">
        <v>24</v>
      </c>
      <c r="F25" s="2">
        <v>46199</v>
      </c>
      <c r="G25" s="2">
        <v>46227</v>
      </c>
      <c r="H25" t="s">
        <v>126</v>
      </c>
      <c r="I25" t="s">
        <v>79</v>
      </c>
      <c r="J25" t="s">
        <v>27</v>
      </c>
      <c r="K25">
        <v>5</v>
      </c>
    </row>
    <row r="26" spans="1:11">
      <c r="A26" t="s">
        <v>127</v>
      </c>
      <c r="B26" t="s">
        <v>128</v>
      </c>
      <c r="C26" t="s">
        <v>129</v>
      </c>
      <c r="D26">
        <v>4500</v>
      </c>
      <c r="E26" t="s">
        <v>24</v>
      </c>
      <c r="F26" s="2">
        <v>46200</v>
      </c>
      <c r="G26" s="2">
        <v>46228</v>
      </c>
      <c r="H26" t="s">
        <v>130</v>
      </c>
      <c r="I26" t="s">
        <v>26</v>
      </c>
      <c r="J26" t="s">
        <v>27</v>
      </c>
      <c r="K26">
        <v>5</v>
      </c>
    </row>
    <row r="27" spans="1:11">
      <c r="A27" t="s">
        <v>131</v>
      </c>
      <c r="B27" t="s">
        <v>132</v>
      </c>
      <c r="C27" t="s">
        <v>133</v>
      </c>
      <c r="D27">
        <v>45000</v>
      </c>
      <c r="E27" t="s">
        <v>24</v>
      </c>
      <c r="F27" s="2">
        <v>46201</v>
      </c>
      <c r="G27" s="2">
        <v>46229</v>
      </c>
      <c r="H27" t="s">
        <v>134</v>
      </c>
      <c r="I27" t="s">
        <v>32</v>
      </c>
      <c r="J27" t="s">
        <v>27</v>
      </c>
      <c r="K27">
        <v>5</v>
      </c>
    </row>
    <row r="28" spans="1:11">
      <c r="A28" t="s">
        <v>135</v>
      </c>
      <c r="B28" t="s">
        <v>136</v>
      </c>
      <c r="C28" t="s">
        <v>137</v>
      </c>
      <c r="D28">
        <v>8500</v>
      </c>
      <c r="E28" t="s">
        <v>24</v>
      </c>
      <c r="F28" s="2">
        <v>46202</v>
      </c>
      <c r="G28" s="2">
        <v>46230</v>
      </c>
      <c r="H28" t="s">
        <v>138</v>
      </c>
      <c r="I28" t="s">
        <v>47</v>
      </c>
      <c r="J28" t="s">
        <v>27</v>
      </c>
      <c r="K28">
        <v>5</v>
      </c>
    </row>
    <row r="29" spans="1:11">
      <c r="A29" t="s">
        <v>139</v>
      </c>
      <c r="B29" t="s">
        <v>140</v>
      </c>
      <c r="C29" t="s">
        <v>141</v>
      </c>
      <c r="D29">
        <v>35000</v>
      </c>
      <c r="E29" t="s">
        <v>24</v>
      </c>
      <c r="F29" s="2">
        <v>46203</v>
      </c>
      <c r="G29" s="2">
        <v>46231</v>
      </c>
      <c r="H29" t="s">
        <v>142</v>
      </c>
      <c r="I29" t="s">
        <v>26</v>
      </c>
      <c r="J29" t="s">
        <v>27</v>
      </c>
      <c r="K29">
        <v>5</v>
      </c>
    </row>
    <row r="30" spans="1:11">
      <c r="A30" t="s">
        <v>143</v>
      </c>
      <c r="B30" t="s">
        <v>144</v>
      </c>
      <c r="C30" t="s">
        <v>145</v>
      </c>
      <c r="D30">
        <v>5800</v>
      </c>
      <c r="E30" t="s">
        <v>24</v>
      </c>
      <c r="F30" s="2">
        <v>46204</v>
      </c>
      <c r="G30" s="2">
        <v>46232</v>
      </c>
      <c r="H30" t="s">
        <v>146</v>
      </c>
      <c r="I30" t="s">
        <v>37</v>
      </c>
      <c r="J30" t="s">
        <v>27</v>
      </c>
      <c r="K30">
        <v>5</v>
      </c>
    </row>
    <row r="31" spans="1:11">
      <c r="A31" t="s">
        <v>147</v>
      </c>
      <c r="B31" t="s">
        <v>148</v>
      </c>
      <c r="C31" t="s">
        <v>149</v>
      </c>
      <c r="D31">
        <v>6000</v>
      </c>
      <c r="E31" t="s">
        <v>24</v>
      </c>
      <c r="F31" s="2">
        <v>46205</v>
      </c>
      <c r="G31" s="2">
        <v>46233</v>
      </c>
      <c r="H31" t="s">
        <v>150</v>
      </c>
      <c r="I31" t="s">
        <v>52</v>
      </c>
      <c r="J31" t="s">
        <v>27</v>
      </c>
      <c r="K31">
        <v>5</v>
      </c>
    </row>
    <row r="32" spans="1:11">
      <c r="A32" t="s">
        <v>151</v>
      </c>
      <c r="B32" t="s">
        <v>152</v>
      </c>
      <c r="C32" t="s">
        <v>153</v>
      </c>
      <c r="D32">
        <v>4200</v>
      </c>
      <c r="E32" t="s">
        <v>24</v>
      </c>
      <c r="F32" s="2">
        <v>46206</v>
      </c>
      <c r="G32" s="2">
        <v>46234</v>
      </c>
      <c r="H32" t="s">
        <v>154</v>
      </c>
      <c r="I32" t="s">
        <v>61</v>
      </c>
      <c r="J32" t="s">
        <v>27</v>
      </c>
      <c r="K32">
        <v>5</v>
      </c>
    </row>
    <row r="33" spans="1:11">
      <c r="A33" t="s">
        <v>155</v>
      </c>
      <c r="B33" t="s">
        <v>156</v>
      </c>
      <c r="C33" t="s">
        <v>157</v>
      </c>
      <c r="D33">
        <v>5500</v>
      </c>
      <c r="E33" t="s">
        <v>24</v>
      </c>
      <c r="F33" s="2">
        <v>46207</v>
      </c>
      <c r="G33" s="2">
        <v>46235</v>
      </c>
      <c r="H33" t="s">
        <v>158</v>
      </c>
      <c r="I33" t="s">
        <v>26</v>
      </c>
      <c r="J33" t="s">
        <v>27</v>
      </c>
      <c r="K33">
        <v>5</v>
      </c>
    </row>
    <row r="34" spans="1:11">
      <c r="A34" t="s">
        <v>159</v>
      </c>
      <c r="B34" t="s">
        <v>160</v>
      </c>
      <c r="C34" t="s">
        <v>161</v>
      </c>
      <c r="D34">
        <v>9000</v>
      </c>
      <c r="E34" t="s">
        <v>24</v>
      </c>
      <c r="F34" s="2">
        <v>46208</v>
      </c>
      <c r="G34" s="2">
        <v>46236</v>
      </c>
      <c r="H34" t="s">
        <v>162</v>
      </c>
      <c r="I34" t="s">
        <v>66</v>
      </c>
      <c r="J34" t="s">
        <v>27</v>
      </c>
      <c r="K34">
        <v>5</v>
      </c>
    </row>
    <row r="35" spans="1:11">
      <c r="A35" t="s">
        <v>163</v>
      </c>
      <c r="B35" t="s">
        <v>164</v>
      </c>
      <c r="C35" t="s">
        <v>165</v>
      </c>
      <c r="D35">
        <v>1800</v>
      </c>
      <c r="E35" t="s">
        <v>24</v>
      </c>
      <c r="F35" s="2">
        <v>46209</v>
      </c>
      <c r="G35" s="2">
        <v>46237</v>
      </c>
      <c r="H35" t="s">
        <v>166</v>
      </c>
      <c r="I35" t="s">
        <v>42</v>
      </c>
      <c r="J35" t="s">
        <v>27</v>
      </c>
      <c r="K35">
        <v>5</v>
      </c>
    </row>
    <row r="36" spans="1:11">
      <c r="A36" t="s">
        <v>167</v>
      </c>
      <c r="B36" t="s">
        <v>168</v>
      </c>
      <c r="C36" t="s">
        <v>169</v>
      </c>
      <c r="D36">
        <v>5200</v>
      </c>
      <c r="E36" t="s">
        <v>24</v>
      </c>
      <c r="F36" s="2">
        <v>46210</v>
      </c>
      <c r="G36" s="2">
        <v>46238</v>
      </c>
      <c r="H36" t="s">
        <v>170</v>
      </c>
      <c r="I36" t="s">
        <v>47</v>
      </c>
      <c r="J36" t="s">
        <v>27</v>
      </c>
      <c r="K36">
        <v>5</v>
      </c>
    </row>
    <row r="37" spans="1:11">
      <c r="A37" t="s">
        <v>171</v>
      </c>
      <c r="B37" t="s">
        <v>172</v>
      </c>
      <c r="C37" t="s">
        <v>173</v>
      </c>
      <c r="D37">
        <v>3000</v>
      </c>
      <c r="E37" t="s">
        <v>24</v>
      </c>
      <c r="F37" s="2">
        <v>46211</v>
      </c>
      <c r="G37" s="2">
        <v>46239</v>
      </c>
      <c r="H37" t="s">
        <v>174</v>
      </c>
      <c r="I37" t="s">
        <v>26</v>
      </c>
      <c r="J37" t="s">
        <v>27</v>
      </c>
      <c r="K37">
        <v>5</v>
      </c>
    </row>
    <row r="38" spans="1:11">
      <c r="A38" t="s">
        <v>175</v>
      </c>
      <c r="B38" t="s">
        <v>176</v>
      </c>
      <c r="C38" t="s">
        <v>177</v>
      </c>
      <c r="D38">
        <v>4100</v>
      </c>
      <c r="E38" t="s">
        <v>24</v>
      </c>
      <c r="F38" s="2">
        <v>46212</v>
      </c>
      <c r="G38" s="2">
        <v>46240</v>
      </c>
      <c r="H38" t="s">
        <v>178</v>
      </c>
      <c r="I38" t="s">
        <v>61</v>
      </c>
      <c r="J38" t="s">
        <v>27</v>
      </c>
      <c r="K38">
        <v>5</v>
      </c>
    </row>
    <row r="39" spans="1:11">
      <c r="A39" t="s">
        <v>179</v>
      </c>
      <c r="B39" t="s">
        <v>180</v>
      </c>
      <c r="C39" t="s">
        <v>181</v>
      </c>
      <c r="D39">
        <v>12000</v>
      </c>
      <c r="E39" t="s">
        <v>24</v>
      </c>
      <c r="F39" s="2">
        <v>46213</v>
      </c>
      <c r="G39" s="2">
        <v>46241</v>
      </c>
      <c r="H39" t="s">
        <v>182</v>
      </c>
      <c r="I39" t="s">
        <v>32</v>
      </c>
      <c r="J39" t="s">
        <v>27</v>
      </c>
      <c r="K39">
        <v>5</v>
      </c>
    </row>
    <row r="40" spans="1:11">
      <c r="A40" t="s">
        <v>183</v>
      </c>
      <c r="B40" t="s">
        <v>184</v>
      </c>
      <c r="C40" t="s">
        <v>185</v>
      </c>
      <c r="D40">
        <v>8500</v>
      </c>
      <c r="E40" t="s">
        <v>24</v>
      </c>
      <c r="F40" s="2">
        <v>46214</v>
      </c>
      <c r="G40" s="2">
        <v>46242</v>
      </c>
      <c r="H40" t="s">
        <v>186</v>
      </c>
      <c r="I40" t="s">
        <v>26</v>
      </c>
      <c r="J40" t="s">
        <v>27</v>
      </c>
      <c r="K40">
        <v>5</v>
      </c>
    </row>
    <row r="41" spans="1:11">
      <c r="A41" t="s">
        <v>187</v>
      </c>
      <c r="B41" t="s">
        <v>188</v>
      </c>
      <c r="C41" t="s">
        <v>189</v>
      </c>
      <c r="D41">
        <v>7000</v>
      </c>
      <c r="E41" t="s">
        <v>24</v>
      </c>
      <c r="F41" s="2">
        <v>46215</v>
      </c>
      <c r="G41" s="2">
        <v>46243</v>
      </c>
      <c r="H41" t="s">
        <v>190</v>
      </c>
      <c r="I41" t="s">
        <v>52</v>
      </c>
      <c r="J41" t="s">
        <v>27</v>
      </c>
      <c r="K41">
        <v>5</v>
      </c>
    </row>
    <row r="42" spans="1:11">
      <c r="A42" t="s">
        <v>191</v>
      </c>
      <c r="B42" t="s">
        <v>192</v>
      </c>
      <c r="C42" t="s">
        <v>193</v>
      </c>
      <c r="D42">
        <v>5000</v>
      </c>
      <c r="E42" t="s">
        <v>24</v>
      </c>
      <c r="F42" s="2">
        <v>46216</v>
      </c>
      <c r="G42" s="2">
        <v>46244</v>
      </c>
      <c r="H42" t="s">
        <v>194</v>
      </c>
      <c r="I42" t="s">
        <v>42</v>
      </c>
      <c r="J42" t="s">
        <v>27</v>
      </c>
      <c r="K42">
        <v>5</v>
      </c>
    </row>
    <row r="43" spans="1:11">
      <c r="A43" t="s">
        <v>195</v>
      </c>
      <c r="B43" t="s">
        <v>196</v>
      </c>
      <c r="C43" t="s">
        <v>197</v>
      </c>
      <c r="D43">
        <v>14000</v>
      </c>
      <c r="E43" t="s">
        <v>24</v>
      </c>
      <c r="F43" s="2">
        <v>46217</v>
      </c>
      <c r="G43" s="2">
        <v>46245</v>
      </c>
      <c r="H43" t="s">
        <v>198</v>
      </c>
      <c r="I43" t="s">
        <v>79</v>
      </c>
      <c r="J43" t="s">
        <v>27</v>
      </c>
      <c r="K43">
        <v>5</v>
      </c>
    </row>
    <row r="44" spans="1:11">
      <c r="A44" t="s">
        <v>199</v>
      </c>
      <c r="B44" t="s">
        <v>200</v>
      </c>
      <c r="C44" t="s">
        <v>201</v>
      </c>
      <c r="D44">
        <v>4800</v>
      </c>
      <c r="E44" t="s">
        <v>24</v>
      </c>
      <c r="F44" s="2">
        <v>46218</v>
      </c>
      <c r="G44" s="2">
        <v>46246</v>
      </c>
      <c r="H44" t="s">
        <v>202</v>
      </c>
      <c r="I44" t="s">
        <v>61</v>
      </c>
      <c r="J44" t="s">
        <v>27</v>
      </c>
      <c r="K44">
        <v>5</v>
      </c>
    </row>
    <row r="45" spans="1:11">
      <c r="A45" t="s">
        <v>203</v>
      </c>
      <c r="B45" t="s">
        <v>204</v>
      </c>
      <c r="C45" t="s">
        <v>205</v>
      </c>
      <c r="D45">
        <v>12500</v>
      </c>
      <c r="E45" t="s">
        <v>24</v>
      </c>
      <c r="F45" s="2">
        <v>46219</v>
      </c>
      <c r="G45" s="2">
        <v>46247</v>
      </c>
      <c r="H45" t="s">
        <v>206</v>
      </c>
      <c r="I45" t="s">
        <v>26</v>
      </c>
      <c r="J45" t="s">
        <v>27</v>
      </c>
      <c r="K45">
        <v>5</v>
      </c>
    </row>
    <row r="46" spans="1:11">
      <c r="A46" t="s">
        <v>207</v>
      </c>
      <c r="B46" t="s">
        <v>208</v>
      </c>
      <c r="C46" t="s">
        <v>209</v>
      </c>
      <c r="D46">
        <v>3500</v>
      </c>
      <c r="E46" t="s">
        <v>24</v>
      </c>
      <c r="F46" s="2">
        <v>46220</v>
      </c>
      <c r="G46" s="2">
        <v>46248</v>
      </c>
      <c r="H46" t="s">
        <v>210</v>
      </c>
      <c r="I46" t="s">
        <v>47</v>
      </c>
      <c r="J46" t="s">
        <v>27</v>
      </c>
      <c r="K46">
        <v>5</v>
      </c>
    </row>
    <row r="47" spans="1:11">
      <c r="A47" t="s">
        <v>211</v>
      </c>
      <c r="B47" t="s">
        <v>212</v>
      </c>
      <c r="C47" t="s">
        <v>213</v>
      </c>
      <c r="D47">
        <v>6200</v>
      </c>
      <c r="E47" t="s">
        <v>24</v>
      </c>
      <c r="F47" s="2">
        <v>46221</v>
      </c>
      <c r="G47" s="2">
        <v>46249</v>
      </c>
      <c r="H47" t="s">
        <v>214</v>
      </c>
      <c r="I47" t="s">
        <v>37</v>
      </c>
      <c r="J47" t="s">
        <v>27</v>
      </c>
      <c r="K47">
        <v>5</v>
      </c>
    </row>
    <row r="48" spans="1:11">
      <c r="A48" t="s">
        <v>215</v>
      </c>
      <c r="B48" t="s">
        <v>216</v>
      </c>
      <c r="C48" t="s">
        <v>217</v>
      </c>
      <c r="D48">
        <v>8800</v>
      </c>
      <c r="E48" t="s">
        <v>24</v>
      </c>
      <c r="F48" s="2">
        <v>46222</v>
      </c>
      <c r="G48" s="2">
        <v>46250</v>
      </c>
      <c r="H48" t="s">
        <v>218</v>
      </c>
      <c r="I48" t="s">
        <v>32</v>
      </c>
      <c r="J48" t="s">
        <v>27</v>
      </c>
      <c r="K48">
        <v>5</v>
      </c>
    </row>
    <row r="49" spans="1:11">
      <c r="A49" t="s">
        <v>219</v>
      </c>
      <c r="B49" t="s">
        <v>220</v>
      </c>
      <c r="C49" t="s">
        <v>221</v>
      </c>
      <c r="D49">
        <v>4400</v>
      </c>
      <c r="E49" t="s">
        <v>24</v>
      </c>
      <c r="F49" s="2">
        <v>46223</v>
      </c>
      <c r="G49" s="2">
        <v>46251</v>
      </c>
      <c r="H49" t="s">
        <v>222</v>
      </c>
      <c r="I49" t="s">
        <v>42</v>
      </c>
      <c r="J49" t="s">
        <v>27</v>
      </c>
      <c r="K49">
        <v>5</v>
      </c>
    </row>
    <row r="50" spans="1:11">
      <c r="A50" t="s">
        <v>223</v>
      </c>
      <c r="B50" t="s">
        <v>224</v>
      </c>
      <c r="C50" t="s">
        <v>225</v>
      </c>
      <c r="D50">
        <v>22000</v>
      </c>
      <c r="E50" t="s">
        <v>24</v>
      </c>
      <c r="F50" s="2">
        <v>46224</v>
      </c>
      <c r="G50" s="2">
        <v>46252</v>
      </c>
      <c r="H50" t="s">
        <v>226</v>
      </c>
      <c r="I50" t="s">
        <v>26</v>
      </c>
      <c r="J50" t="s">
        <v>27</v>
      </c>
      <c r="K50">
        <v>5</v>
      </c>
    </row>
    <row r="51" spans="1:11">
      <c r="A51" t="s">
        <v>227</v>
      </c>
      <c r="B51" t="s">
        <v>228</v>
      </c>
      <c r="C51" t="s">
        <v>229</v>
      </c>
      <c r="D51">
        <v>5200</v>
      </c>
      <c r="E51" t="s">
        <v>24</v>
      </c>
      <c r="F51" s="2">
        <v>46225</v>
      </c>
      <c r="G51" s="2">
        <v>46253</v>
      </c>
      <c r="H51" t="s">
        <v>230</v>
      </c>
      <c r="I51" t="s">
        <v>61</v>
      </c>
      <c r="J51" t="s">
        <v>27</v>
      </c>
      <c r="K51">
        <v>5</v>
      </c>
    </row>
    <row r="53" spans="1:11">
      <c r="A53" t="s">
        <v>231</v>
      </c>
    </row>
    <row r="55" spans="1:11">
      <c r="A55" t="s">
        <v>232</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Ali</dc:creator>
  <cp:lastModifiedBy>M Ali</cp:lastModifiedBy>
  <dcterms:created xsi:type="dcterms:W3CDTF">2026-06-05T14:53:00Z</dcterms:created>
  <dcterms:modified xsi:type="dcterms:W3CDTF">2026-06-06T19:18:24Z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A0911618DDC94BC39DCD5DFA3E8AC1CA_12</vt:lpwstr>
  </property>
  <property fmtid="{D5CDD505-2E9C-101B-9397-08002B2CF9AE}" pid="3" name="KSOProductBuildVer">
    <vt:lpwstr>1033-12.1.0.26880</vt:lpwstr>
  </property>
  <property fmtid="{D5CDD505-2E9C-101B-9397-08002B2CF9AE}" pid="4" name="CalculationRule">
    <vt:i4>0</vt:i4>
  </property>
</Properties>
</file>