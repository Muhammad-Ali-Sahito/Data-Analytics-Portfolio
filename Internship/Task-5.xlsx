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M Ali\Downloads\Data Analysis-entern\task-4\"/>
    </mc:Choice>
  </mc:AlternateContent>
  <xr:revisionPtr revIDLastSave="0" documentId="8_{9FE36170-C45B-4574-A970-13B509A93299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1" sheetId="1" r:id="rId7"/>
  </sheets>
  <calcPr calcId="191029"/>
  <pivotCaches>
    <pivotCache cacheId="1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" i="1" l="1"/>
  <c r="T2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<sst xmlns="http://schemas.openxmlformats.org/spreadsheetml/2006/main" count="557" uniqueCount="239">
  <si>
    <t>Client_ID</t>
  </si>
  <si>
    <t>Client_Name</t>
  </si>
  <si>
    <t>Client_Services</t>
  </si>
  <si>
    <t>Project_Budget</t>
  </si>
  <si>
    <t>Project_Status</t>
  </si>
  <si>
    <t>Start_Date</t>
  </si>
  <si>
    <t>End_Date</t>
  </si>
  <si>
    <t>Client_City</t>
  </si>
  <si>
    <t>Lead_Sources</t>
  </si>
  <si>
    <t>Payment_Status</t>
  </si>
  <si>
    <t>Client_Rating</t>
  </si>
  <si>
    <t>Total_Sum</t>
  </si>
  <si>
    <t>Average</t>
  </si>
  <si>
    <t>MAX</t>
  </si>
  <si>
    <t>Min</t>
  </si>
  <si>
    <t>Count</t>
  </si>
  <si>
    <t>highest/lowest budget</t>
  </si>
  <si>
    <t>Vlookuo/Xlookup</t>
  </si>
  <si>
    <t>Count A</t>
  </si>
  <si>
    <t>AverageIF</t>
  </si>
  <si>
    <t>SUMIF</t>
  </si>
  <si>
    <t>23-AI-01</t>
  </si>
  <si>
    <t>M.Ali</t>
  </si>
  <si>
    <t>Data Analysis</t>
  </si>
  <si>
    <t>In Progress</t>
  </si>
  <si>
    <t>Nawabshah</t>
  </si>
  <si>
    <t>Referral</t>
  </si>
  <si>
    <t>un-paid</t>
  </si>
  <si>
    <t>Low Budget</t>
  </si>
  <si>
    <t>23-AI-02</t>
  </si>
  <si>
    <t>Adil</t>
  </si>
  <si>
    <t>AI Consultation</t>
  </si>
  <si>
    <t>Karachi</t>
  </si>
  <si>
    <t>Google Ads</t>
  </si>
  <si>
    <t>23-AI-03</t>
  </si>
  <si>
    <t>Dilawar</t>
  </si>
  <si>
    <t>Cyber Security</t>
  </si>
  <si>
    <t>Islamabad</t>
  </si>
  <si>
    <t>Email</t>
  </si>
  <si>
    <t>23-AI-04</t>
  </si>
  <si>
    <t>Yasir</t>
  </si>
  <si>
    <t>Cloud Computing</t>
  </si>
  <si>
    <t>Lahore</t>
  </si>
  <si>
    <t>Instagram</t>
  </si>
  <si>
    <t>23-AI-05</t>
  </si>
  <si>
    <t>Mohsin</t>
  </si>
  <si>
    <t>App Development</t>
  </si>
  <si>
    <t>Multan</t>
  </si>
  <si>
    <t>Facebook</t>
  </si>
  <si>
    <t>23-AI-06</t>
  </si>
  <si>
    <t>Azan</t>
  </si>
  <si>
    <t>SEO Services</t>
  </si>
  <si>
    <t>Hydrabad</t>
  </si>
  <si>
    <t>Cold Call</t>
  </si>
  <si>
    <t>23-AI-07</t>
  </si>
  <si>
    <t>Faraz</t>
  </si>
  <si>
    <t>IT Support</t>
  </si>
  <si>
    <t>Pindi</t>
  </si>
  <si>
    <t>23-AI-08</t>
  </si>
  <si>
    <t>Rehan</t>
  </si>
  <si>
    <t>UI/UX Design</t>
  </si>
  <si>
    <t>Sukkur</t>
  </si>
  <si>
    <t>LinkedIn</t>
  </si>
  <si>
    <t>23-AI-09</t>
  </si>
  <si>
    <t>Abbas</t>
  </si>
  <si>
    <t>E-commerce Solutions</t>
  </si>
  <si>
    <t>Moro</t>
  </si>
  <si>
    <t>Google Search</t>
  </si>
  <si>
    <t>23-AI-10</t>
  </si>
  <si>
    <t>Jahangeer</t>
  </si>
  <si>
    <t>Digital Marketing</t>
  </si>
  <si>
    <t>Dadu</t>
  </si>
  <si>
    <t>23-AI-11</t>
  </si>
  <si>
    <t>Shayan</t>
  </si>
  <si>
    <t>Software Engineering</t>
  </si>
  <si>
    <t>Faisalabad</t>
  </si>
  <si>
    <t>23-AI-12</t>
  </si>
  <si>
    <t>Rehman</t>
  </si>
  <si>
    <t>Game Development</t>
  </si>
  <si>
    <t>Quetta</t>
  </si>
  <si>
    <t>Tech Event</t>
  </si>
  <si>
    <t>23-AI-13</t>
  </si>
  <si>
    <t>Rizwan</t>
  </si>
  <si>
    <t>Machine Learning</t>
  </si>
  <si>
    <t>Peshawar</t>
  </si>
  <si>
    <t>23-AI-14</t>
  </si>
  <si>
    <t>Farhan</t>
  </si>
  <si>
    <t>Graphic Designing</t>
  </si>
  <si>
    <t>Sialkot</t>
  </si>
  <si>
    <t>23-AI-15</t>
  </si>
  <si>
    <t>Shoaib</t>
  </si>
  <si>
    <t>Network Administration</t>
  </si>
  <si>
    <t>Gujranwala</t>
  </si>
  <si>
    <t>23-AI-16</t>
  </si>
  <si>
    <t>Huzaifa</t>
  </si>
  <si>
    <t>IT Consulting</t>
  </si>
  <si>
    <t>Larkana</t>
  </si>
  <si>
    <t>23-AI-17</t>
  </si>
  <si>
    <t>Izhar</t>
  </si>
  <si>
    <t>Business Intelligence</t>
  </si>
  <si>
    <t>Mirpur</t>
  </si>
  <si>
    <t>23-AI-18</t>
  </si>
  <si>
    <t>Umer</t>
  </si>
  <si>
    <t>Content Strategy</t>
  </si>
  <si>
    <t>Thatta</t>
  </si>
  <si>
    <t>23-AI-19</t>
  </si>
  <si>
    <t>Adnan</t>
  </si>
  <si>
    <t>Web Design</t>
  </si>
  <si>
    <t>Badeen</t>
  </si>
  <si>
    <t>23-AI-20</t>
  </si>
  <si>
    <t>Fayaz</t>
  </si>
  <si>
    <t>Database Management</t>
  </si>
  <si>
    <t>Khairpur</t>
  </si>
  <si>
    <t>23-AI-21</t>
  </si>
  <si>
    <t>Muzamil</t>
  </si>
  <si>
    <t>Cloud Migration</t>
  </si>
  <si>
    <t>Sargoda</t>
  </si>
  <si>
    <t>23-AI-22</t>
  </si>
  <si>
    <t>Amjad</t>
  </si>
  <si>
    <t>Bahawalpur</t>
  </si>
  <si>
    <t>23-AI-23</t>
  </si>
  <si>
    <t>Imran</t>
  </si>
  <si>
    <t>SEO Optimization</t>
  </si>
  <si>
    <t>Abbottabad</t>
  </si>
  <si>
    <t>23-AI-24</t>
  </si>
  <si>
    <t>Kamran</t>
  </si>
  <si>
    <t>Tech Support</t>
  </si>
  <si>
    <t>Gawadar</t>
  </si>
  <si>
    <t>23-AI-25</t>
  </si>
  <si>
    <t>Sanaullah</t>
  </si>
  <si>
    <t>E-commerce Setup</t>
  </si>
  <si>
    <t>Sahiwal</t>
  </si>
  <si>
    <t>23-AI-26</t>
  </si>
  <si>
    <t>Rashid</t>
  </si>
  <si>
    <t>Social Media Management</t>
  </si>
  <si>
    <t>Jhelum</t>
  </si>
  <si>
    <t>23-AI-27</t>
  </si>
  <si>
    <t>Rayay</t>
  </si>
  <si>
    <t>Software Testing</t>
  </si>
  <si>
    <t>Gujrat</t>
  </si>
  <si>
    <t>23-AI-28</t>
  </si>
  <si>
    <t>Wassey</t>
  </si>
  <si>
    <t>AI Integration</t>
  </si>
  <si>
    <t>Sheikhupura</t>
  </si>
  <si>
    <t>23-AI-29</t>
  </si>
  <si>
    <t>Shafay</t>
  </si>
  <si>
    <t>IT Infrastructure</t>
  </si>
  <si>
    <t>Oara</t>
  </si>
  <si>
    <t>23-AI-30</t>
  </si>
  <si>
    <t>Manan</t>
  </si>
  <si>
    <t>Content Writing</t>
  </si>
  <si>
    <t>Kasur</t>
  </si>
  <si>
    <t>23-AI-31</t>
  </si>
  <si>
    <t>Hanan</t>
  </si>
  <si>
    <t>Backend Development</t>
  </si>
  <si>
    <t>Chiniot</t>
  </si>
  <si>
    <t>23-AI-32</t>
  </si>
  <si>
    <t>Zohaib</t>
  </si>
  <si>
    <t>Cloud Storage Solutions</t>
  </si>
  <si>
    <t>Kamoke</t>
  </si>
  <si>
    <t>23-AI-33</t>
  </si>
  <si>
    <t>Arman</t>
  </si>
  <si>
    <t>Cyber Security Training</t>
  </si>
  <si>
    <t>Marden</t>
  </si>
  <si>
    <t>23-AI-34</t>
  </si>
  <si>
    <t>Noman</t>
  </si>
  <si>
    <t>Mobile App QA</t>
  </si>
  <si>
    <t>Kohat</t>
  </si>
  <si>
    <t>23-AI-35</t>
  </si>
  <si>
    <t>Sohail</t>
  </si>
  <si>
    <t>Local SEO</t>
  </si>
  <si>
    <t>Daira-ismail khan</t>
  </si>
  <si>
    <t>23-AI-36</t>
  </si>
  <si>
    <t>Amir</t>
  </si>
  <si>
    <t>Remote IT Support</t>
  </si>
  <si>
    <t>Gilgit</t>
  </si>
  <si>
    <t>23-AI-37</t>
  </si>
  <si>
    <t>Shakir</t>
  </si>
  <si>
    <t>Product Prototyping</t>
  </si>
  <si>
    <t>Sakardu</t>
  </si>
  <si>
    <t>23-AI-38</t>
  </si>
  <si>
    <t>Shahbaz</t>
  </si>
  <si>
    <t xml:space="preserve">Digital Transformation </t>
  </si>
  <si>
    <t>Muzaffarabad</t>
  </si>
  <si>
    <t>23-AI-39</t>
  </si>
  <si>
    <t>Zamin</t>
  </si>
  <si>
    <t>Data Engineering</t>
  </si>
  <si>
    <t>Shahdadkot</t>
  </si>
  <si>
    <t>23-AI-40</t>
  </si>
  <si>
    <t>Salman</t>
  </si>
  <si>
    <t>Predictive Modeling</t>
  </si>
  <si>
    <t>Kandhkot</t>
  </si>
  <si>
    <t>23-AI-41</t>
  </si>
  <si>
    <t>Zohan</t>
  </si>
  <si>
    <t>DevOps Pipeline Setup</t>
  </si>
  <si>
    <t>Kamber</t>
  </si>
  <si>
    <t>23-AI-42</t>
  </si>
  <si>
    <t>Ayan</t>
  </si>
  <si>
    <t>Blockchain Development</t>
  </si>
  <si>
    <t>Sehwan</t>
  </si>
  <si>
    <t>23-AI-43</t>
  </si>
  <si>
    <t>Rohail</t>
  </si>
  <si>
    <t>API Integration Services</t>
  </si>
  <si>
    <t>Tando-adam</t>
  </si>
  <si>
    <t>23-AI-44</t>
  </si>
  <si>
    <t>Nazeer</t>
  </si>
  <si>
    <t>IT Disaster Recovery</t>
  </si>
  <si>
    <t>Sanghar</t>
  </si>
  <si>
    <t>23-AI-45</t>
  </si>
  <si>
    <t>Tariq</t>
  </si>
  <si>
    <t>ERP System Implementation</t>
  </si>
  <si>
    <t>Umerkot</t>
  </si>
  <si>
    <t>23-AI-46</t>
  </si>
  <si>
    <t>Nasir</t>
  </si>
  <si>
    <t>Business Automation</t>
  </si>
  <si>
    <t>Matiari</t>
  </si>
  <si>
    <t>23-AI-47</t>
  </si>
  <si>
    <t>Hussain</t>
  </si>
  <si>
    <t>Generative AI Solutions</t>
  </si>
  <si>
    <t>Attock</t>
  </si>
  <si>
    <t>23-AI-48</t>
  </si>
  <si>
    <t>Hasnain</t>
  </si>
  <si>
    <t>Big Data Analytics</t>
  </si>
  <si>
    <t>Murree</t>
  </si>
  <si>
    <t>23-AI-49</t>
  </si>
  <si>
    <t>Farman</t>
  </si>
  <si>
    <t>Natural Language Processing</t>
  </si>
  <si>
    <t>Vehari</t>
  </si>
  <si>
    <t>23-AI-50</t>
  </si>
  <si>
    <t>Shahzaib</t>
  </si>
  <si>
    <t>Wev Development</t>
  </si>
  <si>
    <t>Taxila</t>
  </si>
  <si>
    <t>Row Labels</t>
  </si>
  <si>
    <t>(blank)</t>
  </si>
  <si>
    <t>Grand Total</t>
  </si>
  <si>
    <t>Sum of Project_Budget</t>
  </si>
  <si>
    <t>Count of Client_ID</t>
  </si>
  <si>
    <t>Count of Project_Status</t>
  </si>
  <si>
    <t>Average of Client_Rating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</si>
</sst>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 applyFill="1" applyAlignment="1"/>
    <xf numFmtId="15" fontId="3" fillId="0" borderId="0" xfId="0" applyNumberFormat="1" applyFont="1" applyFill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Ali" refreshedDate="46185.061972800926" createdVersion="7" refreshedVersion="7" minRefreshableVersion="3" recordCount="51" xr:uid="{F9406D21-A51D-44F3-80C7-0E7CE989935B}">
  <cacheSource type="worksheet">
    <worksheetSource ref="A1:U1048576" sheet="Sheet1"/>
  </cacheSource>
  <cacheFields count="21">
    <cacheField name="Client_ID" numFmtId="0">
      <sharedItems containsBlank="1"/>
    </cacheField>
    <cacheField name="Client_Name" numFmtId="0">
      <sharedItems containsBlank="1"/>
    </cacheField>
    <cacheField name="Client_Services" numFmtId="0">
      <sharedItems containsBlank="1" count="50">
        <s v="Data Analysis"/>
        <s v="AI Consultation"/>
        <s v="Cyber Security"/>
        <s v="Cloud Computing"/>
        <s v="App Development"/>
        <s v="SEO Services"/>
        <s v="IT Support"/>
        <s v="UI/UX Design"/>
        <s v="E-commerce Solutions"/>
        <s v="Digital Marketing"/>
        <s v="Software Engineering"/>
        <s v="Game Development"/>
        <s v="Machine Learning"/>
        <s v="Graphic Designing"/>
        <s v="Network Administration"/>
        <s v="IT Consulting"/>
        <s v="Business Intelligence"/>
        <s v="Content Strategy"/>
        <s v="Web Design"/>
        <s v="Database Management"/>
        <s v="Cloud Migration"/>
        <s v="SEO Optimization"/>
        <s v="Tech Support"/>
        <s v="E-commerce Setup"/>
        <s v="Social Media Management"/>
        <s v="Software Testing"/>
        <s v="AI Integration"/>
        <s v="IT Infrastructure"/>
        <s v="Content Writing"/>
        <s v="Backend Development"/>
        <s v="Cloud Storage Solutions"/>
        <s v="Cyber Security Training"/>
        <s v="Mobile App QA"/>
        <s v="Local SEO"/>
        <s v="Remote IT Support"/>
        <s v="Product Prototyping"/>
        <s v="Digital Transformation "/>
        <s v="Data Engineering"/>
        <s v="Predictive Modeling"/>
        <s v="DevOps Pipeline Setup"/>
        <s v="Blockchain Development"/>
        <s v="API Integration Services"/>
        <s v="IT Disaster Recovery"/>
        <s v="ERP System Implementation"/>
        <s v="Business Automation"/>
        <s v="Generative AI Solutions"/>
        <s v="Big Data Analytics"/>
        <s v="Natural Language Processing"/>
        <s v="Wev Development"/>
        <m/>
      </sharedItems>
    </cacheField>
    <cacheField name="Project_Budget" numFmtId="0">
      <sharedItems containsString="0" containsBlank="1" containsNumber="1" containsInteger="1" minValue="900" maxValue="45000"/>
    </cacheField>
    <cacheField name="Project_Status" numFmtId="0">
      <sharedItems containsBlank="1" count="2">
        <s v="In Progress"/>
        <m/>
      </sharedItems>
    </cacheField>
    <cacheField name="Start_Date" numFmtId="0">
      <sharedItems containsNonDate="0" containsDate="1" containsString="0" containsBlank="1" minDate="2026-06-03T00:00:00" maxDate="2026-07-23T00:00:00"/>
    </cacheField>
    <cacheField name="End_Date" numFmtId="0">
      <sharedItems containsNonDate="0" containsDate="1" containsString="0" containsBlank="1" minDate="2026-07-01T00:00:00" maxDate="2026-08-20T00:00:00"/>
    </cacheField>
    <cacheField name="Client_City" numFmtId="0">
      <sharedItems containsBlank="1" count="51">
        <s v="Nawabshah"/>
        <s v="Karachi"/>
        <s v="Islamabad"/>
        <s v="Lahore"/>
        <s v="Multan"/>
        <s v="Hydrabad"/>
        <s v="Pindi"/>
        <s v="Sukkur"/>
        <s v="Moro"/>
        <s v="Dadu"/>
        <s v="Faisalabad"/>
        <s v="Quetta"/>
        <s v="Peshawar"/>
        <s v="Sialkot"/>
        <s v="Gujranwala"/>
        <s v="Larkana"/>
        <s v="Mirpur"/>
        <s v="Thatta"/>
        <s v="Badeen"/>
        <s v="Khairpur"/>
        <s v="Sargoda"/>
        <s v="Bahawalpur"/>
        <s v="Abbottabad"/>
        <s v="Gawadar"/>
        <s v="Sahiwal"/>
        <s v="Jhelum"/>
        <s v="Gujrat"/>
        <s v="Sheikhupura"/>
        <s v="Oara"/>
        <s v="Kasur"/>
        <s v="Chiniot"/>
        <s v="Kamoke"/>
        <s v="Marden"/>
        <s v="Kohat"/>
        <s v="Daira-ismail khan"/>
        <s v="Gilgit"/>
        <s v="Sakardu"/>
        <s v="Muzaffarabad"/>
        <s v="Shahdadkot"/>
        <s v="Kandhkot"/>
        <s v="Kamber"/>
        <s v="Sehwan"/>
        <s v="Tando-adam"/>
        <s v="Sanghar"/>
        <s v="Umerkot"/>
        <s v="Matiari"/>
        <s v="Attock"/>
        <s v="Murree"/>
        <s v="Vehari"/>
        <s v="Taxila"/>
        <m/>
      </sharedItems>
    </cacheField>
    <cacheField name="Lead_Sources" numFmtId="0">
      <sharedItems containsBlank="1" count="10">
        <s v="Referral"/>
        <s v="Google Ads"/>
        <s v="Email"/>
        <s v="Instagram"/>
        <s v="Facebook"/>
        <s v="Cold Call"/>
        <s v="LinkedIn"/>
        <s v="Google Search"/>
        <s v="Tech Event"/>
        <m/>
      </sharedItems>
    </cacheField>
    <cacheField name="Payment_Status" numFmtId="0">
      <sharedItems containsBlank="1" count="2">
        <s v="un-paid"/>
        <m/>
      </sharedItems>
    </cacheField>
    <cacheField name="Client_Rating" numFmtId="0">
      <sharedItems containsString="0" containsBlank="1" containsNumber="1" containsInteger="1" minValue="5" maxValue="5"/>
    </cacheField>
    <cacheField name="Total_Sum" numFmtId="0">
      <sharedItems containsString="0" containsBlank="1" containsNumber="1" containsInteger="1" minValue="412200" maxValue="412200"/>
    </cacheField>
    <cacheField name="Average" numFmtId="0">
      <sharedItems containsString="0" containsBlank="1" containsNumber="1" containsInteger="1" minValue="8244" maxValue="8244"/>
    </cacheField>
    <cacheField name="MAX" numFmtId="0">
      <sharedItems containsString="0" containsBlank="1" containsNumber="1" containsInteger="1" minValue="45000" maxValue="45000"/>
    </cacheField>
    <cacheField name="Min" numFmtId="0">
      <sharedItems containsString="0" containsBlank="1" containsNumber="1" containsInteger="1" minValue="900" maxValue="900"/>
    </cacheField>
    <cacheField name="Count" numFmtId="0">
      <sharedItems containsString="0" containsBlank="1" containsNumber="1" containsInteger="1" minValue="50" maxValue="50"/>
    </cacheField>
    <cacheField name="highest/lowest budget" numFmtId="0">
      <sharedItems containsBlank="1"/>
    </cacheField>
    <cacheField name="Vlookuo/Xlookup" numFmtId="0">
      <sharedItems containsBlank="1"/>
    </cacheField>
    <cacheField name="Count A" numFmtId="0">
      <sharedItems containsString="0" containsBlank="1" containsNumber="1" containsInteger="1" minValue="50" maxValue="50"/>
    </cacheField>
    <cacheField name="AverageIF" numFmtId="0">
      <sharedItems containsString="0" containsBlank="1" containsNumber="1" minValue="11861.538461538499" maxValue="11861.538461538499"/>
    </cacheField>
    <cacheField name="SUMIF" numFmtId="0">
      <sharedItems containsString="0" containsBlank="1" containsNumber="1" containsInteger="1" minValue="154200" maxValue="154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23-AI-01"/>
    <s v="M.Ali"/>
    <x v="0"/>
    <n v="2500"/>
    <x v="0"/>
    <d v="2026-06-03T00:00:00"/>
    <d v="2026-07-01T00:00:00"/>
    <x v="0"/>
    <x v="0"/>
    <x v="0"/>
    <n v="5"/>
    <n v="412200"/>
    <n v="8244"/>
    <n v="45000"/>
    <n v="900"/>
    <n v="50"/>
    <s v="Low Budget"/>
    <s v="M.Ali"/>
    <n v="50"/>
    <n v="11861.538461538499"/>
    <n v="154200"/>
  </r>
  <r>
    <s v="23-AI-02"/>
    <s v="Adil"/>
    <x v="1"/>
    <n v="4500"/>
    <x v="0"/>
    <d v="2026-06-04T00:00:00"/>
    <d v="2026-07-02T00:00:00"/>
    <x v="1"/>
    <x v="1"/>
    <x v="0"/>
    <n v="5"/>
    <m/>
    <m/>
    <m/>
    <m/>
    <m/>
    <m/>
    <m/>
    <m/>
    <m/>
    <m/>
  </r>
  <r>
    <s v="23-AI-03"/>
    <s v="Dilawar"/>
    <x v="2"/>
    <n v="8000"/>
    <x v="0"/>
    <d v="2026-06-05T00:00:00"/>
    <d v="2026-07-03T00:00:00"/>
    <x v="2"/>
    <x v="2"/>
    <x v="0"/>
    <n v="5"/>
    <m/>
    <m/>
    <m/>
    <m/>
    <m/>
    <m/>
    <m/>
    <m/>
    <m/>
    <m/>
  </r>
  <r>
    <s v="23-AI-04"/>
    <s v="Yasir"/>
    <x v="3"/>
    <n v="900"/>
    <x v="0"/>
    <d v="2026-06-06T00:00:00"/>
    <d v="2026-07-04T00:00:00"/>
    <x v="3"/>
    <x v="3"/>
    <x v="0"/>
    <n v="5"/>
    <m/>
    <m/>
    <m/>
    <m/>
    <m/>
    <m/>
    <m/>
    <m/>
    <m/>
    <m/>
  </r>
  <r>
    <s v="23-AI-05"/>
    <s v="Mohsin"/>
    <x v="4"/>
    <n v="3200"/>
    <x v="0"/>
    <d v="2026-06-07T00:00:00"/>
    <d v="2026-07-05T00:00:00"/>
    <x v="4"/>
    <x v="4"/>
    <x v="0"/>
    <n v="5"/>
    <m/>
    <m/>
    <m/>
    <m/>
    <m/>
    <m/>
    <m/>
    <m/>
    <m/>
    <m/>
  </r>
  <r>
    <s v="23-AI-06"/>
    <s v="Azan"/>
    <x v="5"/>
    <n v="6000"/>
    <x v="0"/>
    <d v="2026-06-08T00:00:00"/>
    <d v="2026-07-06T00:00:00"/>
    <x v="5"/>
    <x v="5"/>
    <x v="0"/>
    <n v="5"/>
    <m/>
    <m/>
    <m/>
    <m/>
    <m/>
    <m/>
    <m/>
    <m/>
    <m/>
    <m/>
  </r>
  <r>
    <s v="23-AI-07"/>
    <s v="Faraz"/>
    <x v="6"/>
    <n v="1500"/>
    <x v="0"/>
    <d v="2026-06-09T00:00:00"/>
    <d v="2026-07-07T00:00:00"/>
    <x v="6"/>
    <x v="0"/>
    <x v="0"/>
    <n v="5"/>
    <m/>
    <m/>
    <m/>
    <m/>
    <m/>
    <m/>
    <m/>
    <m/>
    <m/>
    <m/>
  </r>
  <r>
    <s v="23-AI-08"/>
    <s v="Rehan"/>
    <x v="7"/>
    <n v="11000"/>
    <x v="0"/>
    <d v="2026-06-10T00:00:00"/>
    <d v="2026-07-08T00:00:00"/>
    <x v="7"/>
    <x v="6"/>
    <x v="0"/>
    <n v="5"/>
    <m/>
    <m/>
    <m/>
    <m/>
    <m/>
    <m/>
    <m/>
    <m/>
    <m/>
    <m/>
  </r>
  <r>
    <s v="23-AI-09"/>
    <s v="Abbas"/>
    <x v="8"/>
    <n v="1100"/>
    <x v="0"/>
    <d v="2026-06-11T00:00:00"/>
    <d v="2026-07-09T00:00:00"/>
    <x v="8"/>
    <x v="7"/>
    <x v="0"/>
    <n v="5"/>
    <m/>
    <m/>
    <m/>
    <m/>
    <m/>
    <m/>
    <m/>
    <m/>
    <m/>
    <m/>
  </r>
  <r>
    <s v="23-AI-10"/>
    <s v="Jahangeer"/>
    <x v="9"/>
    <n v="2000"/>
    <x v="0"/>
    <d v="2026-06-12T00:00:00"/>
    <d v="2026-07-10T00:00:00"/>
    <x v="9"/>
    <x v="2"/>
    <x v="0"/>
    <n v="5"/>
    <m/>
    <m/>
    <m/>
    <m/>
    <m/>
    <m/>
    <m/>
    <m/>
    <m/>
    <m/>
  </r>
  <r>
    <s v="23-AI-11"/>
    <s v="Shayan"/>
    <x v="10"/>
    <n v="9500"/>
    <x v="0"/>
    <d v="2026-06-13T00:00:00"/>
    <d v="2026-07-11T00:00:00"/>
    <x v="10"/>
    <x v="6"/>
    <x v="0"/>
    <n v="5"/>
    <m/>
    <m/>
    <m/>
    <m/>
    <m/>
    <m/>
    <m/>
    <m/>
    <m/>
    <m/>
  </r>
  <r>
    <s v="23-AI-12"/>
    <s v="Rehman"/>
    <x v="11"/>
    <n v="7000"/>
    <x v="0"/>
    <d v="2026-06-14T00:00:00"/>
    <d v="2026-07-12T00:00:00"/>
    <x v="11"/>
    <x v="8"/>
    <x v="0"/>
    <n v="5"/>
    <m/>
    <m/>
    <m/>
    <m/>
    <m/>
    <m/>
    <m/>
    <m/>
    <m/>
    <m/>
  </r>
  <r>
    <s v="23-AI-13"/>
    <s v="Rizwan"/>
    <x v="12"/>
    <n v="3800"/>
    <x v="0"/>
    <d v="2026-06-15T00:00:00"/>
    <d v="2026-07-13T00:00:00"/>
    <x v="12"/>
    <x v="4"/>
    <x v="0"/>
    <n v="5"/>
    <m/>
    <m/>
    <m/>
    <m/>
    <m/>
    <m/>
    <m/>
    <m/>
    <m/>
    <m/>
  </r>
  <r>
    <s v="23-AI-14"/>
    <s v="Farhan"/>
    <x v="13"/>
    <n v="15000"/>
    <x v="0"/>
    <d v="2026-06-16T00:00:00"/>
    <d v="2026-07-14T00:00:00"/>
    <x v="13"/>
    <x v="0"/>
    <x v="0"/>
    <n v="5"/>
    <m/>
    <m/>
    <m/>
    <m/>
    <m/>
    <m/>
    <m/>
    <m/>
    <m/>
    <m/>
  </r>
  <r>
    <s v="23-AI-15"/>
    <s v="Shoaib"/>
    <x v="14"/>
    <n v="5500"/>
    <x v="0"/>
    <d v="2026-06-17T00:00:00"/>
    <d v="2026-07-15T00:00:00"/>
    <x v="14"/>
    <x v="1"/>
    <x v="0"/>
    <n v="5"/>
    <m/>
    <m/>
    <m/>
    <m/>
    <m/>
    <m/>
    <m/>
    <m/>
    <m/>
    <m/>
  </r>
  <r>
    <s v="23-AI-16"/>
    <s v="Huzaifa"/>
    <x v="15"/>
    <n v="1300"/>
    <x v="0"/>
    <d v="2026-06-18T00:00:00"/>
    <d v="2026-07-16T00:00:00"/>
    <x v="15"/>
    <x v="3"/>
    <x v="0"/>
    <n v="5"/>
    <m/>
    <m/>
    <m/>
    <m/>
    <m/>
    <m/>
    <m/>
    <m/>
    <m/>
    <m/>
  </r>
  <r>
    <s v="23-AI-17"/>
    <s v="Izhar"/>
    <x v="16"/>
    <n v="7200"/>
    <x v="0"/>
    <d v="2026-06-19T00:00:00"/>
    <d v="2026-07-17T00:00:00"/>
    <x v="16"/>
    <x v="0"/>
    <x v="0"/>
    <n v="5"/>
    <m/>
    <m/>
    <m/>
    <m/>
    <m/>
    <m/>
    <m/>
    <m/>
    <m/>
    <m/>
  </r>
  <r>
    <s v="23-AI-18"/>
    <s v="Umer"/>
    <x v="17"/>
    <n v="6500"/>
    <x v="0"/>
    <d v="2026-06-20T00:00:00"/>
    <d v="2026-07-18T00:00:00"/>
    <x v="17"/>
    <x v="2"/>
    <x v="0"/>
    <n v="5"/>
    <m/>
    <m/>
    <m/>
    <m/>
    <m/>
    <m/>
    <m/>
    <m/>
    <m/>
    <m/>
  </r>
  <r>
    <s v="23-AI-19"/>
    <s v="Adnan"/>
    <x v="18"/>
    <n v="12000"/>
    <x v="0"/>
    <d v="2026-06-21T00:00:00"/>
    <d v="2026-07-19T00:00:00"/>
    <x v="18"/>
    <x v="0"/>
    <x v="0"/>
    <n v="5"/>
    <m/>
    <m/>
    <m/>
    <m/>
    <m/>
    <m/>
    <m/>
    <m/>
    <m/>
    <m/>
  </r>
  <r>
    <s v="23-AI-20"/>
    <s v="Fayaz"/>
    <x v="19"/>
    <n v="4200"/>
    <x v="0"/>
    <d v="2026-06-22T00:00:00"/>
    <d v="2026-07-20T00:00:00"/>
    <x v="19"/>
    <x v="4"/>
    <x v="0"/>
    <n v="5"/>
    <m/>
    <m/>
    <m/>
    <m/>
    <m/>
    <m/>
    <m/>
    <m/>
    <m/>
    <m/>
  </r>
  <r>
    <s v="23-AI-21"/>
    <s v="Muzamil"/>
    <x v="20"/>
    <n v="25000"/>
    <x v="0"/>
    <d v="2026-06-23T00:00:00"/>
    <d v="2026-07-21T00:00:00"/>
    <x v="20"/>
    <x v="0"/>
    <x v="0"/>
    <n v="5"/>
    <m/>
    <m/>
    <m/>
    <m/>
    <m/>
    <m/>
    <m/>
    <m/>
    <m/>
    <m/>
  </r>
  <r>
    <s v="23-AI-22"/>
    <s v="Amjad"/>
    <x v="4"/>
    <n v="2800"/>
    <x v="0"/>
    <d v="2026-06-24T00:00:00"/>
    <d v="2026-07-22T00:00:00"/>
    <x v="21"/>
    <x v="3"/>
    <x v="0"/>
    <n v="5"/>
    <m/>
    <m/>
    <m/>
    <m/>
    <m/>
    <m/>
    <m/>
    <m/>
    <m/>
    <m/>
  </r>
  <r>
    <s v="23-AI-23"/>
    <s v="Imran"/>
    <x v="21"/>
    <n v="2200"/>
    <x v="0"/>
    <d v="2026-06-25T00:00:00"/>
    <d v="2026-07-23T00:00:00"/>
    <x v="22"/>
    <x v="5"/>
    <x v="0"/>
    <n v="5"/>
    <m/>
    <m/>
    <m/>
    <m/>
    <m/>
    <m/>
    <m/>
    <m/>
    <m/>
    <m/>
  </r>
  <r>
    <s v="23-AI-24"/>
    <s v="Kamran"/>
    <x v="22"/>
    <n v="18000"/>
    <x v="0"/>
    <d v="2026-06-26T00:00:00"/>
    <d v="2026-07-24T00:00:00"/>
    <x v="23"/>
    <x v="8"/>
    <x v="0"/>
    <n v="5"/>
    <m/>
    <m/>
    <m/>
    <m/>
    <m/>
    <m/>
    <m/>
    <m/>
    <m/>
    <m/>
  </r>
  <r>
    <s v="23-AI-25"/>
    <s v="Sanaullah"/>
    <x v="23"/>
    <n v="4500"/>
    <x v="0"/>
    <d v="2026-06-27T00:00:00"/>
    <d v="2026-07-25T00:00:00"/>
    <x v="24"/>
    <x v="0"/>
    <x v="0"/>
    <n v="5"/>
    <m/>
    <m/>
    <m/>
    <m/>
    <m/>
    <m/>
    <m/>
    <m/>
    <m/>
    <m/>
  </r>
  <r>
    <s v="23-AI-26"/>
    <s v="Rashid"/>
    <x v="24"/>
    <n v="45000"/>
    <x v="0"/>
    <d v="2026-06-28T00:00:00"/>
    <d v="2026-07-26T00:00:00"/>
    <x v="25"/>
    <x v="1"/>
    <x v="0"/>
    <n v="5"/>
    <m/>
    <m/>
    <m/>
    <m/>
    <m/>
    <m/>
    <m/>
    <m/>
    <m/>
    <m/>
  </r>
  <r>
    <s v="23-AI-27"/>
    <s v="Rayay"/>
    <x v="25"/>
    <n v="8500"/>
    <x v="0"/>
    <d v="2026-06-29T00:00:00"/>
    <d v="2026-07-27T00:00:00"/>
    <x v="26"/>
    <x v="4"/>
    <x v="0"/>
    <n v="5"/>
    <m/>
    <m/>
    <m/>
    <m/>
    <m/>
    <m/>
    <m/>
    <m/>
    <m/>
    <m/>
  </r>
  <r>
    <s v="23-AI-28"/>
    <s v="Wassey"/>
    <x v="26"/>
    <n v="35000"/>
    <x v="0"/>
    <d v="2026-06-30T00:00:00"/>
    <d v="2026-07-28T00:00:00"/>
    <x v="27"/>
    <x v="0"/>
    <x v="0"/>
    <n v="5"/>
    <m/>
    <m/>
    <m/>
    <m/>
    <m/>
    <m/>
    <m/>
    <m/>
    <m/>
    <m/>
  </r>
  <r>
    <s v="23-AI-29"/>
    <s v="Shafay"/>
    <x v="27"/>
    <n v="5800"/>
    <x v="0"/>
    <d v="2026-07-01T00:00:00"/>
    <d v="2026-07-29T00:00:00"/>
    <x v="28"/>
    <x v="2"/>
    <x v="0"/>
    <n v="5"/>
    <m/>
    <m/>
    <m/>
    <m/>
    <m/>
    <m/>
    <m/>
    <m/>
    <m/>
    <m/>
  </r>
  <r>
    <s v="23-AI-30"/>
    <s v="Manan"/>
    <x v="28"/>
    <n v="6000"/>
    <x v="0"/>
    <d v="2026-07-02T00:00:00"/>
    <d v="2026-07-30T00:00:00"/>
    <x v="29"/>
    <x v="5"/>
    <x v="0"/>
    <n v="5"/>
    <m/>
    <m/>
    <m/>
    <m/>
    <m/>
    <m/>
    <m/>
    <m/>
    <m/>
    <m/>
  </r>
  <r>
    <s v="23-AI-31"/>
    <s v="Hanan"/>
    <x v="29"/>
    <n v="4200"/>
    <x v="0"/>
    <d v="2026-07-03T00:00:00"/>
    <d v="2026-07-31T00:00:00"/>
    <x v="30"/>
    <x v="6"/>
    <x v="0"/>
    <n v="5"/>
    <m/>
    <m/>
    <m/>
    <m/>
    <m/>
    <m/>
    <m/>
    <m/>
    <m/>
    <m/>
  </r>
  <r>
    <s v="23-AI-32"/>
    <s v="Zohaib"/>
    <x v="30"/>
    <n v="5500"/>
    <x v="0"/>
    <d v="2026-07-04T00:00:00"/>
    <d v="2026-08-01T00:00:00"/>
    <x v="31"/>
    <x v="0"/>
    <x v="0"/>
    <n v="5"/>
    <m/>
    <m/>
    <m/>
    <m/>
    <m/>
    <m/>
    <m/>
    <m/>
    <m/>
    <m/>
  </r>
  <r>
    <s v="23-AI-33"/>
    <s v="Arman"/>
    <x v="31"/>
    <n v="9000"/>
    <x v="0"/>
    <d v="2026-07-05T00:00:00"/>
    <d v="2026-08-02T00:00:00"/>
    <x v="32"/>
    <x v="7"/>
    <x v="0"/>
    <n v="5"/>
    <m/>
    <m/>
    <m/>
    <m/>
    <m/>
    <m/>
    <m/>
    <m/>
    <m/>
    <m/>
  </r>
  <r>
    <s v="23-AI-34"/>
    <s v="Noman"/>
    <x v="32"/>
    <n v="1800"/>
    <x v="0"/>
    <d v="2026-07-06T00:00:00"/>
    <d v="2026-08-03T00:00:00"/>
    <x v="33"/>
    <x v="3"/>
    <x v="0"/>
    <n v="5"/>
    <m/>
    <m/>
    <m/>
    <m/>
    <m/>
    <m/>
    <m/>
    <m/>
    <m/>
    <m/>
  </r>
  <r>
    <s v="23-AI-35"/>
    <s v="Sohail"/>
    <x v="33"/>
    <n v="5200"/>
    <x v="0"/>
    <d v="2026-07-07T00:00:00"/>
    <d v="2026-08-04T00:00:00"/>
    <x v="34"/>
    <x v="4"/>
    <x v="0"/>
    <n v="5"/>
    <m/>
    <m/>
    <m/>
    <m/>
    <m/>
    <m/>
    <m/>
    <m/>
    <m/>
    <m/>
  </r>
  <r>
    <s v="23-AI-36"/>
    <s v="Amir"/>
    <x v="34"/>
    <n v="3000"/>
    <x v="0"/>
    <d v="2026-07-08T00:00:00"/>
    <d v="2026-08-05T00:00:00"/>
    <x v="35"/>
    <x v="0"/>
    <x v="0"/>
    <n v="5"/>
    <m/>
    <m/>
    <m/>
    <m/>
    <m/>
    <m/>
    <m/>
    <m/>
    <m/>
    <m/>
  </r>
  <r>
    <s v="23-AI-37"/>
    <s v="Shakir"/>
    <x v="35"/>
    <n v="4100"/>
    <x v="0"/>
    <d v="2026-07-09T00:00:00"/>
    <d v="2026-08-06T00:00:00"/>
    <x v="36"/>
    <x v="6"/>
    <x v="0"/>
    <n v="5"/>
    <m/>
    <m/>
    <m/>
    <m/>
    <m/>
    <m/>
    <m/>
    <m/>
    <m/>
    <m/>
  </r>
  <r>
    <s v="23-AI-38"/>
    <s v="Shahbaz"/>
    <x v="36"/>
    <n v="12000"/>
    <x v="0"/>
    <d v="2026-07-10T00:00:00"/>
    <d v="2026-08-07T00:00:00"/>
    <x v="37"/>
    <x v="1"/>
    <x v="0"/>
    <n v="5"/>
    <m/>
    <m/>
    <m/>
    <m/>
    <m/>
    <m/>
    <m/>
    <m/>
    <m/>
    <m/>
  </r>
  <r>
    <s v="23-AI-39"/>
    <s v="Zamin"/>
    <x v="37"/>
    <n v="8500"/>
    <x v="0"/>
    <d v="2026-07-11T00:00:00"/>
    <d v="2026-08-08T00:00:00"/>
    <x v="38"/>
    <x v="0"/>
    <x v="0"/>
    <n v="5"/>
    <m/>
    <m/>
    <m/>
    <m/>
    <m/>
    <m/>
    <m/>
    <m/>
    <m/>
    <m/>
  </r>
  <r>
    <s v="23-AI-40"/>
    <s v="Salman"/>
    <x v="38"/>
    <n v="7000"/>
    <x v="0"/>
    <d v="2026-07-12T00:00:00"/>
    <d v="2026-08-09T00:00:00"/>
    <x v="39"/>
    <x v="5"/>
    <x v="0"/>
    <n v="5"/>
    <m/>
    <m/>
    <m/>
    <m/>
    <m/>
    <m/>
    <m/>
    <m/>
    <m/>
    <m/>
  </r>
  <r>
    <s v="23-AI-41"/>
    <s v="Zohan"/>
    <x v="39"/>
    <n v="5000"/>
    <x v="0"/>
    <d v="2026-07-13T00:00:00"/>
    <d v="2026-08-10T00:00:00"/>
    <x v="40"/>
    <x v="3"/>
    <x v="0"/>
    <n v="5"/>
    <m/>
    <m/>
    <m/>
    <m/>
    <m/>
    <m/>
    <m/>
    <m/>
    <m/>
    <m/>
  </r>
  <r>
    <s v="23-AI-42"/>
    <s v="Ayan"/>
    <x v="40"/>
    <n v="14000"/>
    <x v="0"/>
    <d v="2026-07-14T00:00:00"/>
    <d v="2026-08-11T00:00:00"/>
    <x v="41"/>
    <x v="8"/>
    <x v="0"/>
    <n v="5"/>
    <m/>
    <m/>
    <m/>
    <m/>
    <m/>
    <m/>
    <m/>
    <m/>
    <m/>
    <m/>
  </r>
  <r>
    <s v="23-AI-43"/>
    <s v="Rohail"/>
    <x v="41"/>
    <n v="4800"/>
    <x v="0"/>
    <d v="2026-07-15T00:00:00"/>
    <d v="2026-08-12T00:00:00"/>
    <x v="42"/>
    <x v="6"/>
    <x v="0"/>
    <n v="5"/>
    <m/>
    <m/>
    <m/>
    <m/>
    <m/>
    <m/>
    <m/>
    <m/>
    <m/>
    <m/>
  </r>
  <r>
    <s v="23-AI-44"/>
    <s v="Nazeer"/>
    <x v="42"/>
    <n v="12500"/>
    <x v="0"/>
    <d v="2026-07-16T00:00:00"/>
    <d v="2026-08-13T00:00:00"/>
    <x v="43"/>
    <x v="0"/>
    <x v="0"/>
    <n v="5"/>
    <m/>
    <m/>
    <m/>
    <m/>
    <m/>
    <m/>
    <m/>
    <m/>
    <m/>
    <m/>
  </r>
  <r>
    <s v="23-AI-45"/>
    <s v="Tariq"/>
    <x v="43"/>
    <n v="3500"/>
    <x v="0"/>
    <d v="2026-07-17T00:00:00"/>
    <d v="2026-08-14T00:00:00"/>
    <x v="44"/>
    <x v="4"/>
    <x v="0"/>
    <n v="5"/>
    <m/>
    <m/>
    <m/>
    <m/>
    <m/>
    <m/>
    <m/>
    <m/>
    <m/>
    <m/>
  </r>
  <r>
    <s v="23-AI-46"/>
    <s v="Nasir"/>
    <x v="44"/>
    <n v="6200"/>
    <x v="0"/>
    <d v="2026-07-18T00:00:00"/>
    <d v="2026-08-15T00:00:00"/>
    <x v="45"/>
    <x v="2"/>
    <x v="0"/>
    <n v="5"/>
    <m/>
    <m/>
    <m/>
    <m/>
    <m/>
    <m/>
    <m/>
    <m/>
    <m/>
    <m/>
  </r>
  <r>
    <s v="23-AI-47"/>
    <s v="Hussain"/>
    <x v="45"/>
    <n v="8800"/>
    <x v="0"/>
    <d v="2026-07-19T00:00:00"/>
    <d v="2026-08-16T00:00:00"/>
    <x v="46"/>
    <x v="1"/>
    <x v="0"/>
    <n v="5"/>
    <m/>
    <m/>
    <m/>
    <m/>
    <m/>
    <m/>
    <m/>
    <m/>
    <m/>
    <m/>
  </r>
  <r>
    <s v="23-AI-48"/>
    <s v="Hasnain"/>
    <x v="46"/>
    <n v="4400"/>
    <x v="0"/>
    <d v="2026-07-20T00:00:00"/>
    <d v="2026-08-17T00:00:00"/>
    <x v="47"/>
    <x v="3"/>
    <x v="0"/>
    <n v="5"/>
    <m/>
    <m/>
    <m/>
    <m/>
    <m/>
    <m/>
    <m/>
    <m/>
    <m/>
    <m/>
  </r>
  <r>
    <s v="23-AI-49"/>
    <s v="Farman"/>
    <x v="47"/>
    <n v="22000"/>
    <x v="0"/>
    <d v="2026-07-21T00:00:00"/>
    <d v="2026-08-18T00:00:00"/>
    <x v="48"/>
    <x v="0"/>
    <x v="0"/>
    <n v="5"/>
    <m/>
    <m/>
    <m/>
    <m/>
    <m/>
    <m/>
    <m/>
    <m/>
    <m/>
    <m/>
  </r>
  <r>
    <s v="23-AI-50"/>
    <s v="Shahzaib"/>
    <x v="48"/>
    <n v="5200"/>
    <x v="0"/>
    <d v="2026-07-22T00:00:00"/>
    <d v="2026-08-19T00:00:00"/>
    <x v="49"/>
    <x v="6"/>
    <x v="0"/>
    <n v="5"/>
    <m/>
    <m/>
    <m/>
    <m/>
    <m/>
    <m/>
    <m/>
    <m/>
    <m/>
    <m/>
  </r>
  <r>
    <m/>
    <m/>
    <x v="49"/>
    <m/>
    <x v="1"/>
    <m/>
    <m/>
    <x v="50"/>
    <x v="9"/>
    <x v="1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129BD-BA4E-4C2E-AB96-0D577021DBBE}" name="PivotTable1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54" firstHeaderRow="1" firstDataRow="1" firstDataCol="1"/>
  <pivotFields count="21">
    <pivotField showAll="0"/>
    <pivotField showAll="0"/>
    <pivotField axis="axisRow" showAll="0">
      <items count="51">
        <item x="1"/>
        <item x="26"/>
        <item x="41"/>
        <item x="4"/>
        <item x="29"/>
        <item x="46"/>
        <item x="40"/>
        <item x="44"/>
        <item x="16"/>
        <item x="3"/>
        <item x="20"/>
        <item x="30"/>
        <item x="17"/>
        <item x="28"/>
        <item x="2"/>
        <item x="31"/>
        <item x="0"/>
        <item x="37"/>
        <item x="19"/>
        <item x="39"/>
        <item x="9"/>
        <item x="36"/>
        <item x="23"/>
        <item x="8"/>
        <item x="43"/>
        <item x="11"/>
        <item x="45"/>
        <item x="13"/>
        <item x="15"/>
        <item x="42"/>
        <item x="27"/>
        <item x="6"/>
        <item x="33"/>
        <item x="12"/>
        <item x="32"/>
        <item x="47"/>
        <item x="14"/>
        <item x="38"/>
        <item x="35"/>
        <item x="34"/>
        <item x="21"/>
        <item x="5"/>
        <item x="24"/>
        <item x="10"/>
        <item x="25"/>
        <item x="22"/>
        <item x="7"/>
        <item x="18"/>
        <item x="48"/>
        <item x="4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Project_Budge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4E9DC-A63F-47D6-B738-EB47C8C30D49}" name="PivotTable2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55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2">
        <item x="22"/>
        <item x="46"/>
        <item x="18"/>
        <item x="21"/>
        <item x="30"/>
        <item x="9"/>
        <item x="34"/>
        <item x="10"/>
        <item x="23"/>
        <item x="35"/>
        <item x="14"/>
        <item x="26"/>
        <item x="5"/>
        <item x="2"/>
        <item x="25"/>
        <item x="40"/>
        <item x="31"/>
        <item x="39"/>
        <item x="1"/>
        <item x="29"/>
        <item x="19"/>
        <item x="33"/>
        <item x="3"/>
        <item x="15"/>
        <item x="32"/>
        <item x="45"/>
        <item x="16"/>
        <item x="8"/>
        <item x="4"/>
        <item x="47"/>
        <item x="37"/>
        <item x="0"/>
        <item x="28"/>
        <item x="12"/>
        <item x="6"/>
        <item x="11"/>
        <item x="24"/>
        <item x="36"/>
        <item x="43"/>
        <item x="20"/>
        <item x="41"/>
        <item x="38"/>
        <item x="27"/>
        <item x="13"/>
        <item x="7"/>
        <item x="42"/>
        <item x="49"/>
        <item x="17"/>
        <item x="44"/>
        <item x="48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Count of Cl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E41D9-6C45-4CE8-9868-5B6E1B4D9E4D}" name="PivotTable3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" firstHeaderRow="1" firstDataRow="1" firstDataCol="1"/>
  <pivotFields count="21"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Project_Statu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D56F0-5103-4EEA-9494-C7470437DDB4}" name="PivotTable4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4" firstHeaderRow="0" firstDataRow="1" firstDataCol="1"/>
  <pivotFields count="21"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1">
        <item x="5"/>
        <item x="2"/>
        <item x="4"/>
        <item x="1"/>
        <item x="7"/>
        <item x="3"/>
        <item x="6"/>
        <item x="0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lient_ID" fld="0" subtotal="count" baseField="0" baseItem="0"/>
    <dataField name="Sum of Project_Budge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49D79-84F3-4AEB-AF7F-008AE7A41DF7}" name="PivotTable5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" firstHeaderRow="1" firstDataRow="1" firstDataCol="1"/>
  <pivotFields count="21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Project_Budge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458F5-8396-4BA5-B50D-E831290410B0}" name="PivotTable6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54" firstHeaderRow="1" firstDataRow="1" firstDataCol="1"/>
  <pivotFields count="21">
    <pivotField showAll="0"/>
    <pivotField showAll="0"/>
    <pivotField axis="axisRow" showAll="0">
      <items count="51">
        <item x="1"/>
        <item x="26"/>
        <item x="41"/>
        <item x="4"/>
        <item x="29"/>
        <item x="46"/>
        <item x="40"/>
        <item x="44"/>
        <item x="16"/>
        <item x="3"/>
        <item x="20"/>
        <item x="30"/>
        <item x="17"/>
        <item x="28"/>
        <item x="2"/>
        <item x="31"/>
        <item x="0"/>
        <item x="37"/>
        <item x="19"/>
        <item x="39"/>
        <item x="9"/>
        <item x="36"/>
        <item x="23"/>
        <item x="8"/>
        <item x="43"/>
        <item x="11"/>
        <item x="45"/>
        <item x="13"/>
        <item x="15"/>
        <item x="42"/>
        <item x="27"/>
        <item x="6"/>
        <item x="33"/>
        <item x="12"/>
        <item x="32"/>
        <item x="47"/>
        <item x="14"/>
        <item x="38"/>
        <item x="35"/>
        <item x="34"/>
        <item x="21"/>
        <item x="5"/>
        <item x="24"/>
        <item x="10"/>
        <item x="25"/>
        <item x="22"/>
        <item x="7"/>
        <item x="18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Average of Client_Rating" fld="1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8D98-2B19-426B-8678-9F0C15A24755}">
  <dimension ref="A3:B54"/>
  <sheetViews>
    <sheetView workbookViewId="0">
      <selection activeCell="A3" sqref="A3"/>
    </sheetView>
  </sheetViews>
  <sheetFormatPr defaultRowHeight="15"/>
  <cols>
    <col min="1" max="1" width="26.7109375" bestFit="1" customWidth="1"/>
    <col min="2" max="2" width="21.5703125" bestFit="1" customWidth="1"/>
  </cols>
  <sheetData>
    <row r="3" spans="1:2">
      <c r="A3" s="5" t="s">
        <v>232</v>
      </c>
      <c r="B3" t="s">
        <v>235</v>
      </c>
    </row>
    <row r="4" spans="1:2">
      <c r="A4" s="6" t="s">
        <v>31</v>
      </c>
      <c r="B4" s="7">
        <v>4500</v>
      </c>
    </row>
    <row r="5" spans="1:2">
      <c r="A5" s="6" t="s">
        <v>142</v>
      </c>
      <c r="B5" s="7">
        <v>35000</v>
      </c>
    </row>
    <row r="6" spans="1:2">
      <c r="A6" s="6" t="s">
        <v>202</v>
      </c>
      <c r="B6" s="7">
        <v>4800</v>
      </c>
    </row>
    <row r="7" spans="1:2">
      <c r="A7" s="6" t="s">
        <v>46</v>
      </c>
      <c r="B7" s="7">
        <v>6000</v>
      </c>
    </row>
    <row r="8" spans="1:2">
      <c r="A8" s="6" t="s">
        <v>154</v>
      </c>
      <c r="B8" s="7">
        <v>4200</v>
      </c>
    </row>
    <row r="9" spans="1:2">
      <c r="A9" s="6" t="s">
        <v>222</v>
      </c>
      <c r="B9" s="7">
        <v>4400</v>
      </c>
    </row>
    <row r="10" spans="1:2">
      <c r="A10" s="6" t="s">
        <v>198</v>
      </c>
      <c r="B10" s="7">
        <v>14000</v>
      </c>
    </row>
    <row r="11" spans="1:2">
      <c r="A11" s="6" t="s">
        <v>214</v>
      </c>
      <c r="B11" s="7">
        <v>6200</v>
      </c>
    </row>
    <row r="12" spans="1:2">
      <c r="A12" s="6" t="s">
        <v>99</v>
      </c>
      <c r="B12" s="7">
        <v>7200</v>
      </c>
    </row>
    <row r="13" spans="1:2">
      <c r="A13" s="6" t="s">
        <v>41</v>
      </c>
      <c r="B13" s="7">
        <v>900</v>
      </c>
    </row>
    <row r="14" spans="1:2">
      <c r="A14" s="6" t="s">
        <v>115</v>
      </c>
      <c r="B14" s="7">
        <v>25000</v>
      </c>
    </row>
    <row r="15" spans="1:2">
      <c r="A15" s="6" t="s">
        <v>158</v>
      </c>
      <c r="B15" s="7">
        <v>5500</v>
      </c>
    </row>
    <row r="16" spans="1:2">
      <c r="A16" s="6" t="s">
        <v>103</v>
      </c>
      <c r="B16" s="7">
        <v>6500</v>
      </c>
    </row>
    <row r="17" spans="1:2">
      <c r="A17" s="6" t="s">
        <v>150</v>
      </c>
      <c r="B17" s="7">
        <v>6000</v>
      </c>
    </row>
    <row r="18" spans="1:2">
      <c r="A18" s="6" t="s">
        <v>36</v>
      </c>
      <c r="B18" s="7">
        <v>8000</v>
      </c>
    </row>
    <row r="19" spans="1:2">
      <c r="A19" s="6" t="s">
        <v>162</v>
      </c>
      <c r="B19" s="7">
        <v>9000</v>
      </c>
    </row>
    <row r="20" spans="1:2">
      <c r="A20" s="6" t="s">
        <v>23</v>
      </c>
      <c r="B20" s="7">
        <v>2500</v>
      </c>
    </row>
    <row r="21" spans="1:2">
      <c r="A21" s="6" t="s">
        <v>186</v>
      </c>
      <c r="B21" s="7">
        <v>8500</v>
      </c>
    </row>
    <row r="22" spans="1:2">
      <c r="A22" s="6" t="s">
        <v>111</v>
      </c>
      <c r="B22" s="7">
        <v>4200</v>
      </c>
    </row>
    <row r="23" spans="1:2">
      <c r="A23" s="6" t="s">
        <v>194</v>
      </c>
      <c r="B23" s="7">
        <v>5000</v>
      </c>
    </row>
    <row r="24" spans="1:2">
      <c r="A24" s="6" t="s">
        <v>70</v>
      </c>
      <c r="B24" s="7">
        <v>2000</v>
      </c>
    </row>
    <row r="25" spans="1:2">
      <c r="A25" s="6" t="s">
        <v>182</v>
      </c>
      <c r="B25" s="7">
        <v>12000</v>
      </c>
    </row>
    <row r="26" spans="1:2">
      <c r="A26" s="6" t="s">
        <v>130</v>
      </c>
      <c r="B26" s="7">
        <v>4500</v>
      </c>
    </row>
    <row r="27" spans="1:2">
      <c r="A27" s="6" t="s">
        <v>65</v>
      </c>
      <c r="B27" s="7">
        <v>1100</v>
      </c>
    </row>
    <row r="28" spans="1:2">
      <c r="A28" s="6" t="s">
        <v>210</v>
      </c>
      <c r="B28" s="7">
        <v>3500</v>
      </c>
    </row>
    <row r="29" spans="1:2">
      <c r="A29" s="6" t="s">
        <v>78</v>
      </c>
      <c r="B29" s="7">
        <v>7000</v>
      </c>
    </row>
    <row r="30" spans="1:2">
      <c r="A30" s="6" t="s">
        <v>218</v>
      </c>
      <c r="B30" s="7">
        <v>8800</v>
      </c>
    </row>
    <row r="31" spans="1:2">
      <c r="A31" s="6" t="s">
        <v>87</v>
      </c>
      <c r="B31" s="7">
        <v>15000</v>
      </c>
    </row>
    <row r="32" spans="1:2">
      <c r="A32" s="6" t="s">
        <v>95</v>
      </c>
      <c r="B32" s="7">
        <v>1300</v>
      </c>
    </row>
    <row r="33" spans="1:2">
      <c r="A33" s="6" t="s">
        <v>206</v>
      </c>
      <c r="B33" s="7">
        <v>12500</v>
      </c>
    </row>
    <row r="34" spans="1:2">
      <c r="A34" s="6" t="s">
        <v>146</v>
      </c>
      <c r="B34" s="7">
        <v>5800</v>
      </c>
    </row>
    <row r="35" spans="1:2">
      <c r="A35" s="6" t="s">
        <v>56</v>
      </c>
      <c r="B35" s="7">
        <v>1500</v>
      </c>
    </row>
    <row r="36" spans="1:2">
      <c r="A36" s="6" t="s">
        <v>170</v>
      </c>
      <c r="B36" s="7">
        <v>5200</v>
      </c>
    </row>
    <row r="37" spans="1:2">
      <c r="A37" s="6" t="s">
        <v>83</v>
      </c>
      <c r="B37" s="7">
        <v>3800</v>
      </c>
    </row>
    <row r="38" spans="1:2">
      <c r="A38" s="6" t="s">
        <v>166</v>
      </c>
      <c r="B38" s="7">
        <v>1800</v>
      </c>
    </row>
    <row r="39" spans="1:2">
      <c r="A39" s="6" t="s">
        <v>226</v>
      </c>
      <c r="B39" s="7">
        <v>22000</v>
      </c>
    </row>
    <row r="40" spans="1:2">
      <c r="A40" s="6" t="s">
        <v>91</v>
      </c>
      <c r="B40" s="7">
        <v>5500</v>
      </c>
    </row>
    <row r="41" spans="1:2">
      <c r="A41" s="6" t="s">
        <v>190</v>
      </c>
      <c r="B41" s="7">
        <v>7000</v>
      </c>
    </row>
    <row r="42" spans="1:2">
      <c r="A42" s="6" t="s">
        <v>178</v>
      </c>
      <c r="B42" s="7">
        <v>4100</v>
      </c>
    </row>
    <row r="43" spans="1:2">
      <c r="A43" s="6" t="s">
        <v>174</v>
      </c>
      <c r="B43" s="7">
        <v>3000</v>
      </c>
    </row>
    <row r="44" spans="1:2">
      <c r="A44" s="6" t="s">
        <v>122</v>
      </c>
      <c r="B44" s="7">
        <v>2200</v>
      </c>
    </row>
    <row r="45" spans="1:2">
      <c r="A45" s="6" t="s">
        <v>51</v>
      </c>
      <c r="B45" s="7">
        <v>6000</v>
      </c>
    </row>
    <row r="46" spans="1:2">
      <c r="A46" s="6" t="s">
        <v>134</v>
      </c>
      <c r="B46" s="7">
        <v>45000</v>
      </c>
    </row>
    <row r="47" spans="1:2">
      <c r="A47" s="6" t="s">
        <v>74</v>
      </c>
      <c r="B47" s="7">
        <v>9500</v>
      </c>
    </row>
    <row r="48" spans="1:2">
      <c r="A48" s="6" t="s">
        <v>138</v>
      </c>
      <c r="B48" s="7">
        <v>8500</v>
      </c>
    </row>
    <row r="49" spans="1:2">
      <c r="A49" s="6" t="s">
        <v>126</v>
      </c>
      <c r="B49" s="7">
        <v>18000</v>
      </c>
    </row>
    <row r="50" spans="1:2">
      <c r="A50" s="6" t="s">
        <v>60</v>
      </c>
      <c r="B50" s="7">
        <v>11000</v>
      </c>
    </row>
    <row r="51" spans="1:2">
      <c r="A51" s="6" t="s">
        <v>107</v>
      </c>
      <c r="B51" s="7">
        <v>12000</v>
      </c>
    </row>
    <row r="52" spans="1:2">
      <c r="A52" s="6" t="s">
        <v>230</v>
      </c>
      <c r="B52" s="7">
        <v>5200</v>
      </c>
    </row>
    <row r="53" spans="1:2">
      <c r="A53" s="6" t="s">
        <v>233</v>
      </c>
      <c r="B53" s="7"/>
    </row>
    <row r="54" spans="1:2">
      <c r="A54" s="6" t="s">
        <v>234</v>
      </c>
      <c r="B54" s="7">
        <v>412200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50B7-FF97-4DED-8120-D79D1CE61551}">
  <dimension ref="A3:B55"/>
  <sheetViews>
    <sheetView workbookViewId="0">
      <selection activeCell="A3" sqref="A3"/>
    </sheetView>
  </sheetViews>
  <sheetFormatPr defaultRowHeight="15"/>
  <cols>
    <col min="1" max="1" width="16.42578125" bestFit="1" customWidth="1"/>
    <col min="2" max="2" width="17.42578125" bestFit="1" customWidth="1"/>
  </cols>
  <sheetData>
    <row r="3" spans="1:2">
      <c r="A3" s="5" t="s">
        <v>232</v>
      </c>
      <c r="B3" t="s">
        <v>236</v>
      </c>
    </row>
    <row r="4" spans="1:2">
      <c r="A4" s="6" t="s">
        <v>123</v>
      </c>
      <c r="B4" s="7">
        <v>1</v>
      </c>
    </row>
    <row r="5" spans="1:2">
      <c r="A5" s="6" t="s">
        <v>219</v>
      </c>
      <c r="B5" s="7">
        <v>1</v>
      </c>
    </row>
    <row r="6" spans="1:2">
      <c r="A6" s="6" t="s">
        <v>108</v>
      </c>
      <c r="B6" s="7">
        <v>1</v>
      </c>
    </row>
    <row r="7" spans="1:2">
      <c r="A7" s="6" t="s">
        <v>119</v>
      </c>
      <c r="B7" s="7">
        <v>1</v>
      </c>
    </row>
    <row r="8" spans="1:2">
      <c r="A8" s="6" t="s">
        <v>155</v>
      </c>
      <c r="B8" s="7">
        <v>1</v>
      </c>
    </row>
    <row r="9" spans="1:2">
      <c r="A9" s="6" t="s">
        <v>71</v>
      </c>
      <c r="B9" s="7">
        <v>1</v>
      </c>
    </row>
    <row r="10" spans="1:2">
      <c r="A10" s="6" t="s">
        <v>171</v>
      </c>
      <c r="B10" s="7">
        <v>1</v>
      </c>
    </row>
    <row r="11" spans="1:2">
      <c r="A11" s="6" t="s">
        <v>75</v>
      </c>
      <c r="B11" s="7">
        <v>1</v>
      </c>
    </row>
    <row r="12" spans="1:2">
      <c r="A12" s="6" t="s">
        <v>127</v>
      </c>
      <c r="B12" s="7">
        <v>1</v>
      </c>
    </row>
    <row r="13" spans="1:2">
      <c r="A13" s="6" t="s">
        <v>175</v>
      </c>
      <c r="B13" s="7">
        <v>1</v>
      </c>
    </row>
    <row r="14" spans="1:2">
      <c r="A14" s="6" t="s">
        <v>92</v>
      </c>
      <c r="B14" s="7">
        <v>1</v>
      </c>
    </row>
    <row r="15" spans="1:2">
      <c r="A15" s="6" t="s">
        <v>139</v>
      </c>
      <c r="B15" s="7">
        <v>1</v>
      </c>
    </row>
    <row r="16" spans="1:2">
      <c r="A16" s="6" t="s">
        <v>52</v>
      </c>
      <c r="B16" s="7">
        <v>1</v>
      </c>
    </row>
    <row r="17" spans="1:2">
      <c r="A17" s="6" t="s">
        <v>37</v>
      </c>
      <c r="B17" s="7">
        <v>1</v>
      </c>
    </row>
    <row r="18" spans="1:2">
      <c r="A18" s="6" t="s">
        <v>135</v>
      </c>
      <c r="B18" s="7">
        <v>1</v>
      </c>
    </row>
    <row r="19" spans="1:2">
      <c r="A19" s="6" t="s">
        <v>195</v>
      </c>
      <c r="B19" s="7">
        <v>1</v>
      </c>
    </row>
    <row r="20" spans="1:2">
      <c r="A20" s="6" t="s">
        <v>159</v>
      </c>
      <c r="B20" s="7">
        <v>1</v>
      </c>
    </row>
    <row r="21" spans="1:2">
      <c r="A21" s="6" t="s">
        <v>191</v>
      </c>
      <c r="B21" s="7">
        <v>1</v>
      </c>
    </row>
    <row r="22" spans="1:2">
      <c r="A22" s="6" t="s">
        <v>32</v>
      </c>
      <c r="B22" s="7">
        <v>1</v>
      </c>
    </row>
    <row r="23" spans="1:2">
      <c r="A23" s="6" t="s">
        <v>151</v>
      </c>
      <c r="B23" s="7">
        <v>1</v>
      </c>
    </row>
    <row r="24" spans="1:2">
      <c r="A24" s="6" t="s">
        <v>112</v>
      </c>
      <c r="B24" s="7">
        <v>1</v>
      </c>
    </row>
    <row r="25" spans="1:2">
      <c r="A25" s="6" t="s">
        <v>167</v>
      </c>
      <c r="B25" s="7">
        <v>1</v>
      </c>
    </row>
    <row r="26" spans="1:2">
      <c r="A26" s="6" t="s">
        <v>42</v>
      </c>
      <c r="B26" s="7">
        <v>1</v>
      </c>
    </row>
    <row r="27" spans="1:2">
      <c r="A27" s="6" t="s">
        <v>96</v>
      </c>
      <c r="B27" s="7">
        <v>1</v>
      </c>
    </row>
    <row r="28" spans="1:2">
      <c r="A28" s="6" t="s">
        <v>163</v>
      </c>
      <c r="B28" s="7">
        <v>1</v>
      </c>
    </row>
    <row r="29" spans="1:2">
      <c r="A29" s="6" t="s">
        <v>215</v>
      </c>
      <c r="B29" s="7">
        <v>1</v>
      </c>
    </row>
    <row r="30" spans="1:2">
      <c r="A30" s="6" t="s">
        <v>100</v>
      </c>
      <c r="B30" s="7">
        <v>1</v>
      </c>
    </row>
    <row r="31" spans="1:2">
      <c r="A31" s="6" t="s">
        <v>66</v>
      </c>
      <c r="B31" s="7">
        <v>1</v>
      </c>
    </row>
    <row r="32" spans="1:2">
      <c r="A32" s="6" t="s">
        <v>47</v>
      </c>
      <c r="B32" s="7">
        <v>1</v>
      </c>
    </row>
    <row r="33" spans="1:2">
      <c r="A33" s="6" t="s">
        <v>223</v>
      </c>
      <c r="B33" s="7">
        <v>1</v>
      </c>
    </row>
    <row r="34" spans="1:2">
      <c r="A34" s="6" t="s">
        <v>183</v>
      </c>
      <c r="B34" s="7">
        <v>1</v>
      </c>
    </row>
    <row r="35" spans="1:2">
      <c r="A35" s="6" t="s">
        <v>25</v>
      </c>
      <c r="B35" s="7">
        <v>1</v>
      </c>
    </row>
    <row r="36" spans="1:2">
      <c r="A36" s="6" t="s">
        <v>147</v>
      </c>
      <c r="B36" s="7">
        <v>1</v>
      </c>
    </row>
    <row r="37" spans="1:2">
      <c r="A37" s="6" t="s">
        <v>84</v>
      </c>
      <c r="B37" s="7">
        <v>1</v>
      </c>
    </row>
    <row r="38" spans="1:2">
      <c r="A38" s="6" t="s">
        <v>57</v>
      </c>
      <c r="B38" s="7">
        <v>1</v>
      </c>
    </row>
    <row r="39" spans="1:2">
      <c r="A39" s="6" t="s">
        <v>79</v>
      </c>
      <c r="B39" s="7">
        <v>1</v>
      </c>
    </row>
    <row r="40" spans="1:2">
      <c r="A40" s="6" t="s">
        <v>131</v>
      </c>
      <c r="B40" s="7">
        <v>1</v>
      </c>
    </row>
    <row r="41" spans="1:2">
      <c r="A41" s="6" t="s">
        <v>179</v>
      </c>
      <c r="B41" s="7">
        <v>1</v>
      </c>
    </row>
    <row r="42" spans="1:2">
      <c r="A42" s="6" t="s">
        <v>207</v>
      </c>
      <c r="B42" s="7">
        <v>1</v>
      </c>
    </row>
    <row r="43" spans="1:2">
      <c r="A43" s="6" t="s">
        <v>116</v>
      </c>
      <c r="B43" s="7">
        <v>1</v>
      </c>
    </row>
    <row r="44" spans="1:2">
      <c r="A44" s="6" t="s">
        <v>199</v>
      </c>
      <c r="B44" s="7">
        <v>1</v>
      </c>
    </row>
    <row r="45" spans="1:2">
      <c r="A45" s="6" t="s">
        <v>187</v>
      </c>
      <c r="B45" s="7">
        <v>1</v>
      </c>
    </row>
    <row r="46" spans="1:2">
      <c r="A46" s="6" t="s">
        <v>143</v>
      </c>
      <c r="B46" s="7">
        <v>1</v>
      </c>
    </row>
    <row r="47" spans="1:2">
      <c r="A47" s="6" t="s">
        <v>88</v>
      </c>
      <c r="B47" s="7">
        <v>1</v>
      </c>
    </row>
    <row r="48" spans="1:2">
      <c r="A48" s="6" t="s">
        <v>61</v>
      </c>
      <c r="B48" s="7">
        <v>1</v>
      </c>
    </row>
    <row r="49" spans="1:2">
      <c r="A49" s="6" t="s">
        <v>203</v>
      </c>
      <c r="B49" s="7">
        <v>1</v>
      </c>
    </row>
    <row r="50" spans="1:2">
      <c r="A50" s="6" t="s">
        <v>231</v>
      </c>
      <c r="B50" s="7">
        <v>1</v>
      </c>
    </row>
    <row r="51" spans="1:2">
      <c r="A51" s="6" t="s">
        <v>104</v>
      </c>
      <c r="B51" s="7">
        <v>1</v>
      </c>
    </row>
    <row r="52" spans="1:2">
      <c r="A52" s="6" t="s">
        <v>211</v>
      </c>
      <c r="B52" s="7">
        <v>1</v>
      </c>
    </row>
    <row r="53" spans="1:2">
      <c r="A53" s="6" t="s">
        <v>227</v>
      </c>
      <c r="B53" s="7">
        <v>1</v>
      </c>
    </row>
    <row r="54" spans="1:2">
      <c r="A54" s="6" t="s">
        <v>233</v>
      </c>
      <c r="B54" s="7"/>
    </row>
    <row r="55" spans="1:2">
      <c r="A55" s="6" t="s">
        <v>234</v>
      </c>
      <c r="B55" s="7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76E0-BA3D-4470-A206-D0AE331566AB}">
  <dimension ref="A3:B6"/>
  <sheetViews>
    <sheetView workbookViewId="0">
      <selection activeCell="D23" sqref="D23"/>
    </sheetView>
  </sheetViews>
  <sheetFormatPr defaultRowHeight="15"/>
  <cols>
    <col min="1" max="1" width="13.140625" bestFit="1" customWidth="1"/>
    <col min="2" max="2" width="22.140625" bestFit="1" customWidth="1"/>
  </cols>
  <sheetData>
    <row r="3" spans="1:2">
      <c r="A3" s="5" t="s">
        <v>232</v>
      </c>
      <c r="B3" t="s">
        <v>237</v>
      </c>
    </row>
    <row r="4" spans="1:2">
      <c r="A4" s="6" t="s">
        <v>24</v>
      </c>
      <c r="B4" s="7">
        <v>50</v>
      </c>
    </row>
    <row r="5" spans="1:2">
      <c r="A5" s="6" t="s">
        <v>233</v>
      </c>
      <c r="B5" s="7"/>
    </row>
    <row r="6" spans="1:2">
      <c r="A6" s="6" t="s">
        <v>234</v>
      </c>
      <c r="B6" s="7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5E73-78BC-4E31-94CF-88007CAB808E}">
  <dimension ref="A3:C14"/>
  <sheetViews>
    <sheetView workbookViewId="0">
      <selection activeCell="A3" sqref="A3"/>
    </sheetView>
  </sheetViews>
  <sheetFormatPr defaultRowHeight="15"/>
  <cols>
    <col min="1" max="1" width="13.7109375" bestFit="1" customWidth="1"/>
    <col min="2" max="2" width="17.42578125" bestFit="1" customWidth="1"/>
    <col min="3" max="3" width="21.5703125" bestFit="1" customWidth="1"/>
  </cols>
  <sheetData>
    <row r="3" spans="1:3">
      <c r="A3" s="5" t="s">
        <v>232</v>
      </c>
      <c r="B3" t="s">
        <v>236</v>
      </c>
      <c r="C3" t="s">
        <v>235</v>
      </c>
    </row>
    <row r="4" spans="1:3">
      <c r="A4" s="6" t="s">
        <v>53</v>
      </c>
      <c r="B4" s="7">
        <v>4</v>
      </c>
      <c r="C4" s="7">
        <v>21200</v>
      </c>
    </row>
    <row r="5" spans="1:3">
      <c r="A5" s="6" t="s">
        <v>38</v>
      </c>
      <c r="B5" s="7">
        <v>5</v>
      </c>
      <c r="C5" s="7">
        <v>28500</v>
      </c>
    </row>
    <row r="6" spans="1:3">
      <c r="A6" s="6" t="s">
        <v>48</v>
      </c>
      <c r="B6" s="7">
        <v>6</v>
      </c>
      <c r="C6" s="7">
        <v>28400</v>
      </c>
    </row>
    <row r="7" spans="1:3">
      <c r="A7" s="6" t="s">
        <v>33</v>
      </c>
      <c r="B7" s="7">
        <v>5</v>
      </c>
      <c r="C7" s="7">
        <v>75800</v>
      </c>
    </row>
    <row r="8" spans="1:3">
      <c r="A8" s="6" t="s">
        <v>67</v>
      </c>
      <c r="B8" s="7">
        <v>2</v>
      </c>
      <c r="C8" s="7">
        <v>10100</v>
      </c>
    </row>
    <row r="9" spans="1:3">
      <c r="A9" s="6" t="s">
        <v>43</v>
      </c>
      <c r="B9" s="7">
        <v>6</v>
      </c>
      <c r="C9" s="7">
        <v>16200</v>
      </c>
    </row>
    <row r="10" spans="1:3">
      <c r="A10" s="6" t="s">
        <v>62</v>
      </c>
      <c r="B10" s="7">
        <v>6</v>
      </c>
      <c r="C10" s="7">
        <v>38800</v>
      </c>
    </row>
    <row r="11" spans="1:3">
      <c r="A11" s="6" t="s">
        <v>26</v>
      </c>
      <c r="B11" s="7">
        <v>13</v>
      </c>
      <c r="C11" s="7">
        <v>154200</v>
      </c>
    </row>
    <row r="12" spans="1:3">
      <c r="A12" s="6" t="s">
        <v>80</v>
      </c>
      <c r="B12" s="7">
        <v>3</v>
      </c>
      <c r="C12" s="7">
        <v>39000</v>
      </c>
    </row>
    <row r="13" spans="1:3">
      <c r="A13" s="6" t="s">
        <v>233</v>
      </c>
      <c r="B13" s="7"/>
      <c r="C13" s="7"/>
    </row>
    <row r="14" spans="1:3">
      <c r="A14" s="6" t="s">
        <v>234</v>
      </c>
      <c r="B14" s="7">
        <v>50</v>
      </c>
      <c r="C14" s="7">
        <v>412200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40F6-AD73-472C-9F84-00E783BFF1C6}">
  <dimension ref="A3:B6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21.5703125" bestFit="1" customWidth="1"/>
  </cols>
  <sheetData>
    <row r="3" spans="1:2">
      <c r="A3" s="5" t="s">
        <v>232</v>
      </c>
      <c r="B3" t="s">
        <v>235</v>
      </c>
    </row>
    <row r="4" spans="1:2">
      <c r="A4" s="6" t="s">
        <v>27</v>
      </c>
      <c r="B4" s="7">
        <v>412200</v>
      </c>
    </row>
    <row r="5" spans="1:2">
      <c r="A5" s="6" t="s">
        <v>233</v>
      </c>
      <c r="B5" s="7"/>
    </row>
    <row r="6" spans="1:2">
      <c r="A6" s="6" t="s">
        <v>234</v>
      </c>
      <c r="B6" s="7">
        <v>412200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2283-9BAA-499E-9D99-6D3AD04F1BE7}">
  <dimension ref="A3:B54"/>
  <sheetViews>
    <sheetView tabSelected="1" topLeftCell="A2" workbookViewId="0">
      <selection activeCell="A3" sqref="A3"/>
    </sheetView>
  </sheetViews>
  <sheetFormatPr defaultRowHeight="15"/>
  <cols>
    <col min="1" max="1" width="26.7109375" bestFit="1" customWidth="1"/>
    <col min="2" max="2" width="23.28515625" bestFit="1" customWidth="1"/>
  </cols>
  <sheetData>
    <row r="3" spans="1:2">
      <c r="A3" s="5" t="s">
        <v>232</v>
      </c>
      <c r="B3" t="s">
        <v>238</v>
      </c>
    </row>
    <row r="4" spans="1:2">
      <c r="A4" s="6" t="s">
        <v>31</v>
      </c>
      <c r="B4" s="7">
        <v>5</v>
      </c>
    </row>
    <row r="5" spans="1:2">
      <c r="A5" s="6" t="s">
        <v>142</v>
      </c>
      <c r="B5" s="7">
        <v>5</v>
      </c>
    </row>
    <row r="6" spans="1:2">
      <c r="A6" s="6" t="s">
        <v>202</v>
      </c>
      <c r="B6" s="7">
        <v>5</v>
      </c>
    </row>
    <row r="7" spans="1:2">
      <c r="A7" s="6" t="s">
        <v>46</v>
      </c>
      <c r="B7" s="7">
        <v>5</v>
      </c>
    </row>
    <row r="8" spans="1:2">
      <c r="A8" s="6" t="s">
        <v>154</v>
      </c>
      <c r="B8" s="7">
        <v>5</v>
      </c>
    </row>
    <row r="9" spans="1:2">
      <c r="A9" s="6" t="s">
        <v>222</v>
      </c>
      <c r="B9" s="7">
        <v>5</v>
      </c>
    </row>
    <row r="10" spans="1:2">
      <c r="A10" s="6" t="s">
        <v>198</v>
      </c>
      <c r="B10" s="7">
        <v>5</v>
      </c>
    </row>
    <row r="11" spans="1:2">
      <c r="A11" s="6" t="s">
        <v>214</v>
      </c>
      <c r="B11" s="7">
        <v>5</v>
      </c>
    </row>
    <row r="12" spans="1:2">
      <c r="A12" s="6" t="s">
        <v>99</v>
      </c>
      <c r="B12" s="7">
        <v>5</v>
      </c>
    </row>
    <row r="13" spans="1:2">
      <c r="A13" s="6" t="s">
        <v>41</v>
      </c>
      <c r="B13" s="7">
        <v>5</v>
      </c>
    </row>
    <row r="14" spans="1:2">
      <c r="A14" s="6" t="s">
        <v>115</v>
      </c>
      <c r="B14" s="7">
        <v>5</v>
      </c>
    </row>
    <row r="15" spans="1:2">
      <c r="A15" s="6" t="s">
        <v>158</v>
      </c>
      <c r="B15" s="7">
        <v>5</v>
      </c>
    </row>
    <row r="16" spans="1:2">
      <c r="A16" s="6" t="s">
        <v>103</v>
      </c>
      <c r="B16" s="7">
        <v>5</v>
      </c>
    </row>
    <row r="17" spans="1:2">
      <c r="A17" s="6" t="s">
        <v>150</v>
      </c>
      <c r="B17" s="7">
        <v>5</v>
      </c>
    </row>
    <row r="18" spans="1:2">
      <c r="A18" s="6" t="s">
        <v>36</v>
      </c>
      <c r="B18" s="7">
        <v>5</v>
      </c>
    </row>
    <row r="19" spans="1:2">
      <c r="A19" s="6" t="s">
        <v>162</v>
      </c>
      <c r="B19" s="7">
        <v>5</v>
      </c>
    </row>
    <row r="20" spans="1:2">
      <c r="A20" s="6" t="s">
        <v>23</v>
      </c>
      <c r="B20" s="7">
        <v>5</v>
      </c>
    </row>
    <row r="21" spans="1:2">
      <c r="A21" s="6" t="s">
        <v>186</v>
      </c>
      <c r="B21" s="7">
        <v>5</v>
      </c>
    </row>
    <row r="22" spans="1:2">
      <c r="A22" s="6" t="s">
        <v>111</v>
      </c>
      <c r="B22" s="7">
        <v>5</v>
      </c>
    </row>
    <row r="23" spans="1:2">
      <c r="A23" s="6" t="s">
        <v>194</v>
      </c>
      <c r="B23" s="7">
        <v>5</v>
      </c>
    </row>
    <row r="24" spans="1:2">
      <c r="A24" s="6" t="s">
        <v>70</v>
      </c>
      <c r="B24" s="7">
        <v>5</v>
      </c>
    </row>
    <row r="25" spans="1:2">
      <c r="A25" s="6" t="s">
        <v>182</v>
      </c>
      <c r="B25" s="7">
        <v>5</v>
      </c>
    </row>
    <row r="26" spans="1:2">
      <c r="A26" s="6" t="s">
        <v>130</v>
      </c>
      <c r="B26" s="7">
        <v>5</v>
      </c>
    </row>
    <row r="27" spans="1:2">
      <c r="A27" s="6" t="s">
        <v>65</v>
      </c>
      <c r="B27" s="7">
        <v>5</v>
      </c>
    </row>
    <row r="28" spans="1:2">
      <c r="A28" s="6" t="s">
        <v>210</v>
      </c>
      <c r="B28" s="7">
        <v>5</v>
      </c>
    </row>
    <row r="29" spans="1:2">
      <c r="A29" s="6" t="s">
        <v>78</v>
      </c>
      <c r="B29" s="7">
        <v>5</v>
      </c>
    </row>
    <row r="30" spans="1:2">
      <c r="A30" s="6" t="s">
        <v>218</v>
      </c>
      <c r="B30" s="7">
        <v>5</v>
      </c>
    </row>
    <row r="31" spans="1:2">
      <c r="A31" s="6" t="s">
        <v>87</v>
      </c>
      <c r="B31" s="7">
        <v>5</v>
      </c>
    </row>
    <row r="32" spans="1:2">
      <c r="A32" s="6" t="s">
        <v>95</v>
      </c>
      <c r="B32" s="7">
        <v>5</v>
      </c>
    </row>
    <row r="33" spans="1:2">
      <c r="A33" s="6" t="s">
        <v>206</v>
      </c>
      <c r="B33" s="7">
        <v>5</v>
      </c>
    </row>
    <row r="34" spans="1:2">
      <c r="A34" s="6" t="s">
        <v>146</v>
      </c>
      <c r="B34" s="7">
        <v>5</v>
      </c>
    </row>
    <row r="35" spans="1:2">
      <c r="A35" s="6" t="s">
        <v>56</v>
      </c>
      <c r="B35" s="7">
        <v>5</v>
      </c>
    </row>
    <row r="36" spans="1:2">
      <c r="A36" s="6" t="s">
        <v>170</v>
      </c>
      <c r="B36" s="7">
        <v>5</v>
      </c>
    </row>
    <row r="37" spans="1:2">
      <c r="A37" s="6" t="s">
        <v>83</v>
      </c>
      <c r="B37" s="7">
        <v>5</v>
      </c>
    </row>
    <row r="38" spans="1:2">
      <c r="A38" s="6" t="s">
        <v>166</v>
      </c>
      <c r="B38" s="7">
        <v>5</v>
      </c>
    </row>
    <row r="39" spans="1:2">
      <c r="A39" s="6" t="s">
        <v>226</v>
      </c>
      <c r="B39" s="7">
        <v>5</v>
      </c>
    </row>
    <row r="40" spans="1:2">
      <c r="A40" s="6" t="s">
        <v>91</v>
      </c>
      <c r="B40" s="7">
        <v>5</v>
      </c>
    </row>
    <row r="41" spans="1:2">
      <c r="A41" s="6" t="s">
        <v>190</v>
      </c>
      <c r="B41" s="7">
        <v>5</v>
      </c>
    </row>
    <row r="42" spans="1:2">
      <c r="A42" s="6" t="s">
        <v>178</v>
      </c>
      <c r="B42" s="7">
        <v>5</v>
      </c>
    </row>
    <row r="43" spans="1:2">
      <c r="A43" s="6" t="s">
        <v>174</v>
      </c>
      <c r="B43" s="7">
        <v>5</v>
      </c>
    </row>
    <row r="44" spans="1:2">
      <c r="A44" s="6" t="s">
        <v>122</v>
      </c>
      <c r="B44" s="7">
        <v>5</v>
      </c>
    </row>
    <row r="45" spans="1:2">
      <c r="A45" s="6" t="s">
        <v>51</v>
      </c>
      <c r="B45" s="7">
        <v>5</v>
      </c>
    </row>
    <row r="46" spans="1:2">
      <c r="A46" s="6" t="s">
        <v>134</v>
      </c>
      <c r="B46" s="7">
        <v>5</v>
      </c>
    </row>
    <row r="47" spans="1:2">
      <c r="A47" s="6" t="s">
        <v>74</v>
      </c>
      <c r="B47" s="7">
        <v>5</v>
      </c>
    </row>
    <row r="48" spans="1:2">
      <c r="A48" s="6" t="s">
        <v>138</v>
      </c>
      <c r="B48" s="7">
        <v>5</v>
      </c>
    </row>
    <row r="49" spans="1:2">
      <c r="A49" s="6" t="s">
        <v>126</v>
      </c>
      <c r="B49" s="7">
        <v>5</v>
      </c>
    </row>
    <row r="50" spans="1:2">
      <c r="A50" s="6" t="s">
        <v>60</v>
      </c>
      <c r="B50" s="7">
        <v>5</v>
      </c>
    </row>
    <row r="51" spans="1:2">
      <c r="A51" s="6" t="s">
        <v>107</v>
      </c>
      <c r="B51" s="7">
        <v>5</v>
      </c>
    </row>
    <row r="52" spans="1:2">
      <c r="A52" s="6" t="s">
        <v>230</v>
      </c>
      <c r="B52" s="7">
        <v>5</v>
      </c>
    </row>
    <row r="53" spans="1:2">
      <c r="A53" s="6" t="s">
        <v>233</v>
      </c>
      <c r="B53" s="7"/>
    </row>
    <row r="54" spans="1:2">
      <c r="A54" s="6" t="s">
        <v>234</v>
      </c>
      <c r="B54" s="7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zoomScale="80" zoomScaleNormal="80" workbookViewId="0">
      <selection activeCell="O20" sqref="O20"/>
    </sheetView>
  </sheetViews>
  <sheetFormatPr defaultColWidth="9" defaultRowHeight="15"/>
  <cols>
    <col min="2" max="2" width="12.42578125" customWidth="1"/>
    <col min="3" max="3" width="15.28515625" customWidth="1"/>
    <col min="4" max="4" width="17.42578125" customWidth="1"/>
    <col min="5" max="5" width="16.7109375" customWidth="1"/>
    <col min="6" max="6" width="14" customWidth="1"/>
    <col min="7" max="7" width="13" customWidth="1"/>
    <col min="8" max="8" width="12.42578125" customWidth="1"/>
    <col min="9" max="9" width="13.140625" customWidth="1"/>
    <col min="10" max="10" width="15.7109375" customWidth="1"/>
    <col min="11" max="11" width="12.42578125" customWidth="1"/>
    <col min="12" max="12" width="10.42578125" customWidth="1"/>
    <col min="17" max="17" width="21.28515625" customWidth="1"/>
    <col min="18" max="18" width="17.28515625" customWidth="1"/>
    <col min="20" max="20" width="12.28515625" customWidth="1"/>
  </cols>
  <sheetData>
    <row r="1" spans="1: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3" t="s">
        <v>22</v>
      </c>
      <c r="C2" s="3" t="s">
        <v>23</v>
      </c>
      <c r="D2" s="3">
        <v>2500</v>
      </c>
      <c r="E2" s="3" t="s">
        <v>24</v>
      </c>
      <c r="F2" s="4">
        <v>46176</v>
      </c>
      <c r="G2" s="4">
        <v>46204</v>
      </c>
      <c r="H2" s="3" t="s">
        <v>25</v>
      </c>
      <c r="I2" s="3" t="s">
        <v>26</v>
      </c>
      <c r="J2" s="3" t="s">
        <v>27</v>
      </c>
      <c r="K2" s="3">
        <v>5</v>
      </c>
      <c r="L2">
        <f>SUM(D2:D52)</f>
        <v>412200</v>
      </c>
      <c r="M2">
        <f>AVERAGE(D2:D52)</f>
        <v>8244</v>
      </c>
      <c r="N2">
        <f>MAX(D2:D52)</f>
        <v>45000</v>
      </c>
      <c r="O2">
        <f>MIN(D2:D52)</f>
        <v>900</v>
      </c>
      <c r="P2">
        <f>COUNT(D2:D52)</f>
        <v>50</v>
      </c>
      <c r="Q2" t="s">
        <v>28</v>
      </c>
      <c r="R2" t="s">
        <v>22</v>
      </c>
      <c r="S2">
        <v>50</v>
      </c>
      <c r="T2" s="3">
        <f>AVERAGEIF(I2:I54,"Referral",D2:D54)</f>
        <v>11861.538461538499</v>
      </c>
      <c r="U2" s="3">
        <f>SUMIF(I2:I54,"Referral",D2:D54)</f>
        <v>154200</v>
      </c>
    </row>
    <row r="3" spans="1:21">
      <c r="A3" t="s">
        <v>29</v>
      </c>
      <c r="B3" s="3" t="s">
        <v>30</v>
      </c>
      <c r="C3" s="3" t="s">
        <v>31</v>
      </c>
      <c r="D3" s="3">
        <v>4500</v>
      </c>
      <c r="E3" s="3" t="s">
        <v>24</v>
      </c>
      <c r="F3" s="4">
        <v>46177</v>
      </c>
      <c r="G3" s="4">
        <v>46205</v>
      </c>
      <c r="H3" s="3" t="s">
        <v>32</v>
      </c>
      <c r="I3" s="3" t="s">
        <v>33</v>
      </c>
      <c r="J3" s="3" t="s">
        <v>27</v>
      </c>
      <c r="K3" s="3">
        <v>5</v>
      </c>
    </row>
    <row r="4" spans="1:21">
      <c r="A4" t="s">
        <v>34</v>
      </c>
      <c r="B4" s="3" t="s">
        <v>35</v>
      </c>
      <c r="C4" s="3" t="s">
        <v>36</v>
      </c>
      <c r="D4" s="3">
        <v>8000</v>
      </c>
      <c r="E4" s="3" t="s">
        <v>24</v>
      </c>
      <c r="F4" s="4">
        <v>46178</v>
      </c>
      <c r="G4" s="4">
        <v>46206</v>
      </c>
      <c r="H4" s="3" t="s">
        <v>37</v>
      </c>
      <c r="I4" s="3" t="s">
        <v>38</v>
      </c>
      <c r="J4" s="3" t="s">
        <v>27</v>
      </c>
      <c r="K4" s="3">
        <v>5</v>
      </c>
    </row>
    <row r="5" spans="1:21">
      <c r="A5" t="s">
        <v>39</v>
      </c>
      <c r="B5" s="3" t="s">
        <v>40</v>
      </c>
      <c r="C5" s="3" t="s">
        <v>41</v>
      </c>
      <c r="D5" s="3">
        <v>900</v>
      </c>
      <c r="E5" s="3" t="s">
        <v>24</v>
      </c>
      <c r="F5" s="4">
        <v>46179</v>
      </c>
      <c r="G5" s="4">
        <v>46207</v>
      </c>
      <c r="H5" s="3" t="s">
        <v>42</v>
      </c>
      <c r="I5" s="3" t="s">
        <v>43</v>
      </c>
      <c r="J5" s="3" t="s">
        <v>27</v>
      </c>
      <c r="K5" s="3">
        <v>5</v>
      </c>
    </row>
    <row r="6" spans="1:21">
      <c r="A6" t="s">
        <v>44</v>
      </c>
      <c r="B6" s="3" t="s">
        <v>45</v>
      </c>
      <c r="C6" s="3" t="s">
        <v>46</v>
      </c>
      <c r="D6" s="3">
        <v>3200</v>
      </c>
      <c r="E6" s="3" t="s">
        <v>24</v>
      </c>
      <c r="F6" s="4">
        <v>46180</v>
      </c>
      <c r="G6" s="4">
        <v>46208</v>
      </c>
      <c r="H6" s="3" t="s">
        <v>47</v>
      </c>
      <c r="I6" s="3" t="s">
        <v>48</v>
      </c>
      <c r="J6" s="3" t="s">
        <v>27</v>
      </c>
      <c r="K6" s="3">
        <v>5</v>
      </c>
    </row>
    <row r="7" spans="1:21">
      <c r="A7" t="s">
        <v>49</v>
      </c>
      <c r="B7" s="3" t="s">
        <v>50</v>
      </c>
      <c r="C7" s="3" t="s">
        <v>51</v>
      </c>
      <c r="D7" s="3">
        <v>6000</v>
      </c>
      <c r="E7" s="3" t="s">
        <v>24</v>
      </c>
      <c r="F7" s="4">
        <v>46181</v>
      </c>
      <c r="G7" s="4">
        <v>46209</v>
      </c>
      <c r="H7" s="3" t="s">
        <v>52</v>
      </c>
      <c r="I7" s="3" t="s">
        <v>53</v>
      </c>
      <c r="J7" s="3" t="s">
        <v>27</v>
      </c>
      <c r="K7" s="3">
        <v>5</v>
      </c>
    </row>
    <row r="8" spans="1:21">
      <c r="A8" t="s">
        <v>54</v>
      </c>
      <c r="B8" s="3" t="s">
        <v>55</v>
      </c>
      <c r="C8" s="3" t="s">
        <v>56</v>
      </c>
      <c r="D8" s="3">
        <v>1500</v>
      </c>
      <c r="E8" s="3" t="s">
        <v>24</v>
      </c>
      <c r="F8" s="4">
        <v>46182</v>
      </c>
      <c r="G8" s="4">
        <v>46210</v>
      </c>
      <c r="H8" s="3" t="s">
        <v>57</v>
      </c>
      <c r="I8" s="3" t="s">
        <v>26</v>
      </c>
      <c r="J8" s="3" t="s">
        <v>27</v>
      </c>
      <c r="K8" s="3">
        <v>5</v>
      </c>
    </row>
    <row r="9" spans="1:21">
      <c r="A9" t="s">
        <v>58</v>
      </c>
      <c r="B9" s="3" t="s">
        <v>59</v>
      </c>
      <c r="C9" s="3" t="s">
        <v>60</v>
      </c>
      <c r="D9" s="3">
        <v>11000</v>
      </c>
      <c r="E9" s="3" t="s">
        <v>24</v>
      </c>
      <c r="F9" s="4">
        <v>46183</v>
      </c>
      <c r="G9" s="4">
        <v>46211</v>
      </c>
      <c r="H9" s="3" t="s">
        <v>61</v>
      </c>
      <c r="I9" s="3" t="s">
        <v>62</v>
      </c>
      <c r="J9" s="3" t="s">
        <v>27</v>
      </c>
      <c r="K9" s="3">
        <v>5</v>
      </c>
    </row>
    <row r="10" spans="1:21">
      <c r="A10" t="s">
        <v>63</v>
      </c>
      <c r="B10" s="3" t="s">
        <v>64</v>
      </c>
      <c r="C10" s="3" t="s">
        <v>65</v>
      </c>
      <c r="D10" s="3">
        <v>1100</v>
      </c>
      <c r="E10" s="3" t="s">
        <v>24</v>
      </c>
      <c r="F10" s="4">
        <v>46184</v>
      </c>
      <c r="G10" s="4">
        <v>46212</v>
      </c>
      <c r="H10" s="3" t="s">
        <v>66</v>
      </c>
      <c r="I10" s="3" t="s">
        <v>67</v>
      </c>
      <c r="J10" s="3" t="s">
        <v>27</v>
      </c>
      <c r="K10" s="3">
        <v>5</v>
      </c>
    </row>
    <row r="11" spans="1:21">
      <c r="A11" t="s">
        <v>68</v>
      </c>
      <c r="B11" s="3" t="s">
        <v>69</v>
      </c>
      <c r="C11" s="3" t="s">
        <v>70</v>
      </c>
      <c r="D11" s="3">
        <v>2000</v>
      </c>
      <c r="E11" s="3" t="s">
        <v>24</v>
      </c>
      <c r="F11" s="4">
        <v>46185</v>
      </c>
      <c r="G11" s="4">
        <v>46213</v>
      </c>
      <c r="H11" s="3" t="s">
        <v>71</v>
      </c>
      <c r="I11" s="3" t="s">
        <v>38</v>
      </c>
      <c r="J11" s="3" t="s">
        <v>27</v>
      </c>
      <c r="K11" s="3">
        <v>5</v>
      </c>
    </row>
    <row r="12" spans="1:21">
      <c r="A12" t="s">
        <v>72</v>
      </c>
      <c r="B12" s="3" t="s">
        <v>73</v>
      </c>
      <c r="C12" s="3" t="s">
        <v>74</v>
      </c>
      <c r="D12" s="3">
        <v>9500</v>
      </c>
      <c r="E12" s="3" t="s">
        <v>24</v>
      </c>
      <c r="F12" s="4">
        <v>46186</v>
      </c>
      <c r="G12" s="4">
        <v>46214</v>
      </c>
      <c r="H12" s="3" t="s">
        <v>75</v>
      </c>
      <c r="I12" s="3" t="s">
        <v>62</v>
      </c>
      <c r="J12" s="3" t="s">
        <v>27</v>
      </c>
      <c r="K12" s="3">
        <v>5</v>
      </c>
    </row>
    <row r="13" spans="1:21">
      <c r="A13" t="s">
        <v>76</v>
      </c>
      <c r="B13" s="3" t="s">
        <v>77</v>
      </c>
      <c r="C13" s="3" t="s">
        <v>78</v>
      </c>
      <c r="D13" s="3">
        <v>7000</v>
      </c>
      <c r="E13" s="3" t="s">
        <v>24</v>
      </c>
      <c r="F13" s="4">
        <v>46187</v>
      </c>
      <c r="G13" s="4">
        <v>46215</v>
      </c>
      <c r="H13" s="3" t="s">
        <v>79</v>
      </c>
      <c r="I13" s="3" t="s">
        <v>80</v>
      </c>
      <c r="J13" s="3" t="s">
        <v>27</v>
      </c>
      <c r="K13" s="3">
        <v>5</v>
      </c>
    </row>
    <row r="14" spans="1:21">
      <c r="A14" t="s">
        <v>81</v>
      </c>
      <c r="B14" s="3" t="s">
        <v>82</v>
      </c>
      <c r="C14" s="3" t="s">
        <v>83</v>
      </c>
      <c r="D14" s="3">
        <v>3800</v>
      </c>
      <c r="E14" s="3" t="s">
        <v>24</v>
      </c>
      <c r="F14" s="4">
        <v>46188</v>
      </c>
      <c r="G14" s="4">
        <v>46216</v>
      </c>
      <c r="H14" s="3" t="s">
        <v>84</v>
      </c>
      <c r="I14" s="3" t="s">
        <v>48</v>
      </c>
      <c r="J14" s="3" t="s">
        <v>27</v>
      </c>
      <c r="K14" s="3">
        <v>5</v>
      </c>
    </row>
    <row r="15" spans="1:21">
      <c r="A15" t="s">
        <v>85</v>
      </c>
      <c r="B15" s="3" t="s">
        <v>86</v>
      </c>
      <c r="C15" s="3" t="s">
        <v>87</v>
      </c>
      <c r="D15" s="3">
        <v>15000</v>
      </c>
      <c r="E15" s="3" t="s">
        <v>24</v>
      </c>
      <c r="F15" s="4">
        <v>46189</v>
      </c>
      <c r="G15" s="4">
        <v>46217</v>
      </c>
      <c r="H15" s="3" t="s">
        <v>88</v>
      </c>
      <c r="I15" s="3" t="s">
        <v>26</v>
      </c>
      <c r="J15" s="3" t="s">
        <v>27</v>
      </c>
      <c r="K15" s="3">
        <v>5</v>
      </c>
    </row>
    <row r="16" spans="1:21">
      <c r="A16" t="s">
        <v>89</v>
      </c>
      <c r="B16" s="3" t="s">
        <v>90</v>
      </c>
      <c r="C16" s="3" t="s">
        <v>91</v>
      </c>
      <c r="D16" s="3">
        <v>5500</v>
      </c>
      <c r="E16" s="3" t="s">
        <v>24</v>
      </c>
      <c r="F16" s="4">
        <v>46190</v>
      </c>
      <c r="G16" s="4">
        <v>46218</v>
      </c>
      <c r="H16" s="3" t="s">
        <v>92</v>
      </c>
      <c r="I16" s="3" t="s">
        <v>33</v>
      </c>
      <c r="J16" s="3" t="s">
        <v>27</v>
      </c>
      <c r="K16" s="3">
        <v>5</v>
      </c>
    </row>
    <row r="17" spans="1:11">
      <c r="A17" t="s">
        <v>93</v>
      </c>
      <c r="B17" s="3" t="s">
        <v>94</v>
      </c>
      <c r="C17" s="3" t="s">
        <v>95</v>
      </c>
      <c r="D17" s="3">
        <v>1300</v>
      </c>
      <c r="E17" s="3" t="s">
        <v>24</v>
      </c>
      <c r="F17" s="4">
        <v>46191</v>
      </c>
      <c r="G17" s="4">
        <v>46219</v>
      </c>
      <c r="H17" s="3" t="s">
        <v>96</v>
      </c>
      <c r="I17" s="3" t="s">
        <v>43</v>
      </c>
      <c r="J17" s="3" t="s">
        <v>27</v>
      </c>
      <c r="K17" s="3">
        <v>5</v>
      </c>
    </row>
    <row r="18" spans="1:11">
      <c r="A18" t="s">
        <v>97</v>
      </c>
      <c r="B18" s="3" t="s">
        <v>98</v>
      </c>
      <c r="C18" s="3" t="s">
        <v>99</v>
      </c>
      <c r="D18" s="3">
        <v>7200</v>
      </c>
      <c r="E18" s="3" t="s">
        <v>24</v>
      </c>
      <c r="F18" s="4">
        <v>46192</v>
      </c>
      <c r="G18" s="4">
        <v>46220</v>
      </c>
      <c r="H18" s="3" t="s">
        <v>100</v>
      </c>
      <c r="I18" s="3" t="s">
        <v>26</v>
      </c>
      <c r="J18" s="3" t="s">
        <v>27</v>
      </c>
      <c r="K18" s="3">
        <v>5</v>
      </c>
    </row>
    <row r="19" spans="1:11">
      <c r="A19" t="s">
        <v>101</v>
      </c>
      <c r="B19" s="3" t="s">
        <v>102</v>
      </c>
      <c r="C19" s="3" t="s">
        <v>103</v>
      </c>
      <c r="D19" s="3">
        <v>6500</v>
      </c>
      <c r="E19" s="3" t="s">
        <v>24</v>
      </c>
      <c r="F19" s="4">
        <v>46193</v>
      </c>
      <c r="G19" s="4">
        <v>46221</v>
      </c>
      <c r="H19" s="3" t="s">
        <v>104</v>
      </c>
      <c r="I19" s="3" t="s">
        <v>38</v>
      </c>
      <c r="J19" s="3" t="s">
        <v>27</v>
      </c>
      <c r="K19" s="3">
        <v>5</v>
      </c>
    </row>
    <row r="20" spans="1:11">
      <c r="A20" t="s">
        <v>105</v>
      </c>
      <c r="B20" s="3" t="s">
        <v>106</v>
      </c>
      <c r="C20" s="3" t="s">
        <v>107</v>
      </c>
      <c r="D20" s="3">
        <v>12000</v>
      </c>
      <c r="E20" s="3" t="s">
        <v>24</v>
      </c>
      <c r="F20" s="4">
        <v>46194</v>
      </c>
      <c r="G20" s="4">
        <v>46222</v>
      </c>
      <c r="H20" s="3" t="s">
        <v>108</v>
      </c>
      <c r="I20" s="3" t="s">
        <v>26</v>
      </c>
      <c r="J20" s="3" t="s">
        <v>27</v>
      </c>
      <c r="K20" s="3">
        <v>5</v>
      </c>
    </row>
    <row r="21" spans="1:11">
      <c r="A21" t="s">
        <v>109</v>
      </c>
      <c r="B21" s="3" t="s">
        <v>110</v>
      </c>
      <c r="C21" s="3" t="s">
        <v>111</v>
      </c>
      <c r="D21" s="3">
        <v>4200</v>
      </c>
      <c r="E21" s="3" t="s">
        <v>24</v>
      </c>
      <c r="F21" s="4">
        <v>46195</v>
      </c>
      <c r="G21" s="4">
        <v>46223</v>
      </c>
      <c r="H21" s="3" t="s">
        <v>112</v>
      </c>
      <c r="I21" s="3" t="s">
        <v>48</v>
      </c>
      <c r="J21" s="3" t="s">
        <v>27</v>
      </c>
      <c r="K21" s="3">
        <v>5</v>
      </c>
    </row>
    <row r="22" spans="1:11">
      <c r="A22" t="s">
        <v>113</v>
      </c>
      <c r="B22" s="3" t="s">
        <v>114</v>
      </c>
      <c r="C22" s="3" t="s">
        <v>115</v>
      </c>
      <c r="D22" s="3">
        <v>25000</v>
      </c>
      <c r="E22" s="3" t="s">
        <v>24</v>
      </c>
      <c r="F22" s="4">
        <v>46196</v>
      </c>
      <c r="G22" s="4">
        <v>46224</v>
      </c>
      <c r="H22" s="3" t="s">
        <v>116</v>
      </c>
      <c r="I22" s="3" t="s">
        <v>26</v>
      </c>
      <c r="J22" s="3" t="s">
        <v>27</v>
      </c>
      <c r="K22" s="3">
        <v>5</v>
      </c>
    </row>
    <row r="23" spans="1:11">
      <c r="A23" t="s">
        <v>117</v>
      </c>
      <c r="B23" s="3" t="s">
        <v>118</v>
      </c>
      <c r="C23" s="3" t="s">
        <v>46</v>
      </c>
      <c r="D23" s="3">
        <v>2800</v>
      </c>
      <c r="E23" s="3" t="s">
        <v>24</v>
      </c>
      <c r="F23" s="4">
        <v>46197</v>
      </c>
      <c r="G23" s="4">
        <v>46225</v>
      </c>
      <c r="H23" s="3" t="s">
        <v>119</v>
      </c>
      <c r="I23" s="3" t="s">
        <v>43</v>
      </c>
      <c r="J23" s="3" t="s">
        <v>27</v>
      </c>
      <c r="K23" s="3">
        <v>5</v>
      </c>
    </row>
    <row r="24" spans="1:11">
      <c r="A24" t="s">
        <v>120</v>
      </c>
      <c r="B24" s="3" t="s">
        <v>121</v>
      </c>
      <c r="C24" s="3" t="s">
        <v>122</v>
      </c>
      <c r="D24" s="3">
        <v>2200</v>
      </c>
      <c r="E24" s="3" t="s">
        <v>24</v>
      </c>
      <c r="F24" s="4">
        <v>46198</v>
      </c>
      <c r="G24" s="4">
        <v>46226</v>
      </c>
      <c r="H24" s="3" t="s">
        <v>123</v>
      </c>
      <c r="I24" s="3" t="s">
        <v>53</v>
      </c>
      <c r="J24" s="3" t="s">
        <v>27</v>
      </c>
      <c r="K24" s="3">
        <v>5</v>
      </c>
    </row>
    <row r="25" spans="1:11">
      <c r="A25" t="s">
        <v>124</v>
      </c>
      <c r="B25" s="3" t="s">
        <v>125</v>
      </c>
      <c r="C25" s="3" t="s">
        <v>126</v>
      </c>
      <c r="D25" s="3">
        <v>18000</v>
      </c>
      <c r="E25" s="3" t="s">
        <v>24</v>
      </c>
      <c r="F25" s="4">
        <v>46199</v>
      </c>
      <c r="G25" s="4">
        <v>46227</v>
      </c>
      <c r="H25" s="3" t="s">
        <v>127</v>
      </c>
      <c r="I25" s="3" t="s">
        <v>80</v>
      </c>
      <c r="J25" s="3" t="s">
        <v>27</v>
      </c>
      <c r="K25" s="3">
        <v>5</v>
      </c>
    </row>
    <row r="26" spans="1:11">
      <c r="A26" t="s">
        <v>128</v>
      </c>
      <c r="B26" s="3" t="s">
        <v>129</v>
      </c>
      <c r="C26" s="3" t="s">
        <v>130</v>
      </c>
      <c r="D26" s="3">
        <v>4500</v>
      </c>
      <c r="E26" s="3" t="s">
        <v>24</v>
      </c>
      <c r="F26" s="4">
        <v>46200</v>
      </c>
      <c r="G26" s="4">
        <v>46228</v>
      </c>
      <c r="H26" s="3" t="s">
        <v>131</v>
      </c>
      <c r="I26" s="3" t="s">
        <v>26</v>
      </c>
      <c r="J26" s="3" t="s">
        <v>27</v>
      </c>
      <c r="K26" s="3">
        <v>5</v>
      </c>
    </row>
    <row r="27" spans="1:11">
      <c r="A27" t="s">
        <v>132</v>
      </c>
      <c r="B27" s="3" t="s">
        <v>133</v>
      </c>
      <c r="C27" s="3" t="s">
        <v>134</v>
      </c>
      <c r="D27" s="3">
        <v>45000</v>
      </c>
      <c r="E27" s="3" t="s">
        <v>24</v>
      </c>
      <c r="F27" s="4">
        <v>46201</v>
      </c>
      <c r="G27" s="4">
        <v>46229</v>
      </c>
      <c r="H27" s="3" t="s">
        <v>135</v>
      </c>
      <c r="I27" s="3" t="s">
        <v>33</v>
      </c>
      <c r="J27" s="3" t="s">
        <v>27</v>
      </c>
      <c r="K27" s="3">
        <v>5</v>
      </c>
    </row>
    <row r="28" spans="1:11">
      <c r="A28" t="s">
        <v>136</v>
      </c>
      <c r="B28" s="3" t="s">
        <v>137</v>
      </c>
      <c r="C28" s="3" t="s">
        <v>138</v>
      </c>
      <c r="D28" s="3">
        <v>8500</v>
      </c>
      <c r="E28" s="3" t="s">
        <v>24</v>
      </c>
      <c r="F28" s="4">
        <v>46202</v>
      </c>
      <c r="G28" s="4">
        <v>46230</v>
      </c>
      <c r="H28" s="3" t="s">
        <v>139</v>
      </c>
      <c r="I28" s="3" t="s">
        <v>48</v>
      </c>
      <c r="J28" s="3" t="s">
        <v>27</v>
      </c>
      <c r="K28" s="3">
        <v>5</v>
      </c>
    </row>
    <row r="29" spans="1:11">
      <c r="A29" t="s">
        <v>140</v>
      </c>
      <c r="B29" s="3" t="s">
        <v>141</v>
      </c>
      <c r="C29" s="3" t="s">
        <v>142</v>
      </c>
      <c r="D29" s="3">
        <v>35000</v>
      </c>
      <c r="E29" s="3" t="s">
        <v>24</v>
      </c>
      <c r="F29" s="4">
        <v>46203</v>
      </c>
      <c r="G29" s="4">
        <v>46231</v>
      </c>
      <c r="H29" s="3" t="s">
        <v>143</v>
      </c>
      <c r="I29" s="3" t="s">
        <v>26</v>
      </c>
      <c r="J29" s="3" t="s">
        <v>27</v>
      </c>
      <c r="K29" s="3">
        <v>5</v>
      </c>
    </row>
    <row r="30" spans="1:11">
      <c r="A30" t="s">
        <v>144</v>
      </c>
      <c r="B30" s="3" t="s">
        <v>145</v>
      </c>
      <c r="C30" s="3" t="s">
        <v>146</v>
      </c>
      <c r="D30" s="3">
        <v>5800</v>
      </c>
      <c r="E30" s="3" t="s">
        <v>24</v>
      </c>
      <c r="F30" s="4">
        <v>46204</v>
      </c>
      <c r="G30" s="4">
        <v>46232</v>
      </c>
      <c r="H30" s="3" t="s">
        <v>147</v>
      </c>
      <c r="I30" s="3" t="s">
        <v>38</v>
      </c>
      <c r="J30" s="3" t="s">
        <v>27</v>
      </c>
      <c r="K30" s="3">
        <v>5</v>
      </c>
    </row>
    <row r="31" spans="1:11">
      <c r="A31" t="s">
        <v>148</v>
      </c>
      <c r="B31" s="3" t="s">
        <v>149</v>
      </c>
      <c r="C31" s="3" t="s">
        <v>150</v>
      </c>
      <c r="D31" s="3">
        <v>6000</v>
      </c>
      <c r="E31" s="3" t="s">
        <v>24</v>
      </c>
      <c r="F31" s="4">
        <v>46205</v>
      </c>
      <c r="G31" s="4">
        <v>46233</v>
      </c>
      <c r="H31" s="3" t="s">
        <v>151</v>
      </c>
      <c r="I31" s="3" t="s">
        <v>53</v>
      </c>
      <c r="J31" s="3" t="s">
        <v>27</v>
      </c>
      <c r="K31" s="3">
        <v>5</v>
      </c>
    </row>
    <row r="32" spans="1:11">
      <c r="A32" t="s">
        <v>152</v>
      </c>
      <c r="B32" s="3" t="s">
        <v>153</v>
      </c>
      <c r="C32" s="3" t="s">
        <v>154</v>
      </c>
      <c r="D32" s="3">
        <v>4200</v>
      </c>
      <c r="E32" s="3" t="s">
        <v>24</v>
      </c>
      <c r="F32" s="4">
        <v>46206</v>
      </c>
      <c r="G32" s="4">
        <v>46234</v>
      </c>
      <c r="H32" s="3" t="s">
        <v>155</v>
      </c>
      <c r="I32" s="3" t="s">
        <v>62</v>
      </c>
      <c r="J32" s="3" t="s">
        <v>27</v>
      </c>
      <c r="K32" s="3">
        <v>5</v>
      </c>
    </row>
    <row r="33" spans="1:11">
      <c r="A33" t="s">
        <v>156</v>
      </c>
      <c r="B33" s="3" t="s">
        <v>157</v>
      </c>
      <c r="C33" s="3" t="s">
        <v>158</v>
      </c>
      <c r="D33" s="3">
        <v>5500</v>
      </c>
      <c r="E33" s="3" t="s">
        <v>24</v>
      </c>
      <c r="F33" s="4">
        <v>46207</v>
      </c>
      <c r="G33" s="4">
        <v>46235</v>
      </c>
      <c r="H33" s="3" t="s">
        <v>159</v>
      </c>
      <c r="I33" s="3" t="s">
        <v>26</v>
      </c>
      <c r="J33" s="3" t="s">
        <v>27</v>
      </c>
      <c r="K33" s="3">
        <v>5</v>
      </c>
    </row>
    <row r="34" spans="1:11">
      <c r="A34" t="s">
        <v>160</v>
      </c>
      <c r="B34" s="3" t="s">
        <v>161</v>
      </c>
      <c r="C34" s="3" t="s">
        <v>162</v>
      </c>
      <c r="D34" s="3">
        <v>9000</v>
      </c>
      <c r="E34" s="3" t="s">
        <v>24</v>
      </c>
      <c r="F34" s="4">
        <v>46208</v>
      </c>
      <c r="G34" s="4">
        <v>46236</v>
      </c>
      <c r="H34" s="3" t="s">
        <v>163</v>
      </c>
      <c r="I34" s="3" t="s">
        <v>67</v>
      </c>
      <c r="J34" s="3" t="s">
        <v>27</v>
      </c>
      <c r="K34" s="3">
        <v>5</v>
      </c>
    </row>
    <row r="35" spans="1:11">
      <c r="A35" t="s">
        <v>164</v>
      </c>
      <c r="B35" s="3" t="s">
        <v>165</v>
      </c>
      <c r="C35" s="3" t="s">
        <v>166</v>
      </c>
      <c r="D35" s="3">
        <v>1800</v>
      </c>
      <c r="E35" s="3" t="s">
        <v>24</v>
      </c>
      <c r="F35" s="4">
        <v>46209</v>
      </c>
      <c r="G35" s="4">
        <v>46237</v>
      </c>
      <c r="H35" s="3" t="s">
        <v>167</v>
      </c>
      <c r="I35" s="3" t="s">
        <v>43</v>
      </c>
      <c r="J35" s="3" t="s">
        <v>27</v>
      </c>
      <c r="K35" s="3">
        <v>5</v>
      </c>
    </row>
    <row r="36" spans="1:11">
      <c r="A36" t="s">
        <v>168</v>
      </c>
      <c r="B36" s="3" t="s">
        <v>169</v>
      </c>
      <c r="C36" s="3" t="s">
        <v>170</v>
      </c>
      <c r="D36" s="3">
        <v>5200</v>
      </c>
      <c r="E36" s="3" t="s">
        <v>24</v>
      </c>
      <c r="F36" s="4">
        <v>46210</v>
      </c>
      <c r="G36" s="4">
        <v>46238</v>
      </c>
      <c r="H36" s="3" t="s">
        <v>171</v>
      </c>
      <c r="I36" s="3" t="s">
        <v>48</v>
      </c>
      <c r="J36" s="3" t="s">
        <v>27</v>
      </c>
      <c r="K36" s="3">
        <v>5</v>
      </c>
    </row>
    <row r="37" spans="1:11">
      <c r="A37" t="s">
        <v>172</v>
      </c>
      <c r="B37" s="3" t="s">
        <v>173</v>
      </c>
      <c r="C37" s="3" t="s">
        <v>174</v>
      </c>
      <c r="D37" s="3">
        <v>3000</v>
      </c>
      <c r="E37" s="3" t="s">
        <v>24</v>
      </c>
      <c r="F37" s="4">
        <v>46211</v>
      </c>
      <c r="G37" s="4">
        <v>46239</v>
      </c>
      <c r="H37" s="3" t="s">
        <v>175</v>
      </c>
      <c r="I37" s="3" t="s">
        <v>26</v>
      </c>
      <c r="J37" s="3" t="s">
        <v>27</v>
      </c>
      <c r="K37" s="3">
        <v>5</v>
      </c>
    </row>
    <row r="38" spans="1:11">
      <c r="A38" t="s">
        <v>176</v>
      </c>
      <c r="B38" s="3" t="s">
        <v>177</v>
      </c>
      <c r="C38" s="3" t="s">
        <v>178</v>
      </c>
      <c r="D38" s="3">
        <v>4100</v>
      </c>
      <c r="E38" s="3" t="s">
        <v>24</v>
      </c>
      <c r="F38" s="4">
        <v>46212</v>
      </c>
      <c r="G38" s="4">
        <v>46240</v>
      </c>
      <c r="H38" s="3" t="s">
        <v>179</v>
      </c>
      <c r="I38" s="3" t="s">
        <v>62</v>
      </c>
      <c r="J38" s="3" t="s">
        <v>27</v>
      </c>
      <c r="K38" s="3">
        <v>5</v>
      </c>
    </row>
    <row r="39" spans="1:11">
      <c r="A39" t="s">
        <v>180</v>
      </c>
      <c r="B39" s="3" t="s">
        <v>181</v>
      </c>
      <c r="C39" s="3" t="s">
        <v>182</v>
      </c>
      <c r="D39" s="3">
        <v>12000</v>
      </c>
      <c r="E39" s="3" t="s">
        <v>24</v>
      </c>
      <c r="F39" s="4">
        <v>46213</v>
      </c>
      <c r="G39" s="4">
        <v>46241</v>
      </c>
      <c r="H39" s="3" t="s">
        <v>183</v>
      </c>
      <c r="I39" s="3" t="s">
        <v>33</v>
      </c>
      <c r="J39" s="3" t="s">
        <v>27</v>
      </c>
      <c r="K39" s="3">
        <v>5</v>
      </c>
    </row>
    <row r="40" spans="1:11">
      <c r="A40" t="s">
        <v>184</v>
      </c>
      <c r="B40" s="3" t="s">
        <v>185</v>
      </c>
      <c r="C40" s="3" t="s">
        <v>186</v>
      </c>
      <c r="D40" s="3">
        <v>8500</v>
      </c>
      <c r="E40" s="3" t="s">
        <v>24</v>
      </c>
      <c r="F40" s="4">
        <v>46214</v>
      </c>
      <c r="G40" s="4">
        <v>46242</v>
      </c>
      <c r="H40" s="3" t="s">
        <v>187</v>
      </c>
      <c r="I40" s="3" t="s">
        <v>26</v>
      </c>
      <c r="J40" s="3" t="s">
        <v>27</v>
      </c>
      <c r="K40" s="3">
        <v>5</v>
      </c>
    </row>
    <row r="41" spans="1:11">
      <c r="A41" t="s">
        <v>188</v>
      </c>
      <c r="B41" s="3" t="s">
        <v>189</v>
      </c>
      <c r="C41" s="3" t="s">
        <v>190</v>
      </c>
      <c r="D41" s="3">
        <v>7000</v>
      </c>
      <c r="E41" s="3" t="s">
        <v>24</v>
      </c>
      <c r="F41" s="4">
        <v>46215</v>
      </c>
      <c r="G41" s="4">
        <v>46243</v>
      </c>
      <c r="H41" s="3" t="s">
        <v>191</v>
      </c>
      <c r="I41" s="3" t="s">
        <v>53</v>
      </c>
      <c r="J41" s="3" t="s">
        <v>27</v>
      </c>
      <c r="K41" s="3">
        <v>5</v>
      </c>
    </row>
    <row r="42" spans="1:11">
      <c r="A42" t="s">
        <v>192</v>
      </c>
      <c r="B42" s="3" t="s">
        <v>193</v>
      </c>
      <c r="C42" s="3" t="s">
        <v>194</v>
      </c>
      <c r="D42" s="3">
        <v>5000</v>
      </c>
      <c r="E42" s="3" t="s">
        <v>24</v>
      </c>
      <c r="F42" s="4">
        <v>46216</v>
      </c>
      <c r="G42" s="4">
        <v>46244</v>
      </c>
      <c r="H42" s="3" t="s">
        <v>195</v>
      </c>
      <c r="I42" s="3" t="s">
        <v>43</v>
      </c>
      <c r="J42" s="3" t="s">
        <v>27</v>
      </c>
      <c r="K42" s="3">
        <v>5</v>
      </c>
    </row>
    <row r="43" spans="1:11">
      <c r="A43" t="s">
        <v>196</v>
      </c>
      <c r="B43" s="3" t="s">
        <v>197</v>
      </c>
      <c r="C43" s="3" t="s">
        <v>198</v>
      </c>
      <c r="D43" s="3">
        <v>14000</v>
      </c>
      <c r="E43" s="3" t="s">
        <v>24</v>
      </c>
      <c r="F43" s="4">
        <v>46217</v>
      </c>
      <c r="G43" s="4">
        <v>46245</v>
      </c>
      <c r="H43" s="3" t="s">
        <v>199</v>
      </c>
      <c r="I43" s="3" t="s">
        <v>80</v>
      </c>
      <c r="J43" s="3" t="s">
        <v>27</v>
      </c>
      <c r="K43" s="3">
        <v>5</v>
      </c>
    </row>
    <row r="44" spans="1:11">
      <c r="A44" t="s">
        <v>200</v>
      </c>
      <c r="B44" s="3" t="s">
        <v>201</v>
      </c>
      <c r="C44" s="3" t="s">
        <v>202</v>
      </c>
      <c r="D44" s="3">
        <v>4800</v>
      </c>
      <c r="E44" s="3" t="s">
        <v>24</v>
      </c>
      <c r="F44" s="4">
        <v>46218</v>
      </c>
      <c r="G44" s="4">
        <v>46246</v>
      </c>
      <c r="H44" s="3" t="s">
        <v>203</v>
      </c>
      <c r="I44" s="3" t="s">
        <v>62</v>
      </c>
      <c r="J44" s="3" t="s">
        <v>27</v>
      </c>
      <c r="K44" s="3">
        <v>5</v>
      </c>
    </row>
    <row r="45" spans="1:11">
      <c r="A45" t="s">
        <v>204</v>
      </c>
      <c r="B45" s="3" t="s">
        <v>205</v>
      </c>
      <c r="C45" s="3" t="s">
        <v>206</v>
      </c>
      <c r="D45" s="3">
        <v>12500</v>
      </c>
      <c r="E45" s="3" t="s">
        <v>24</v>
      </c>
      <c r="F45" s="4">
        <v>46219</v>
      </c>
      <c r="G45" s="4">
        <v>46247</v>
      </c>
      <c r="H45" s="3" t="s">
        <v>207</v>
      </c>
      <c r="I45" s="3" t="s">
        <v>26</v>
      </c>
      <c r="J45" s="3" t="s">
        <v>27</v>
      </c>
      <c r="K45" s="3">
        <v>5</v>
      </c>
    </row>
    <row r="46" spans="1:11">
      <c r="A46" t="s">
        <v>208</v>
      </c>
      <c r="B46" s="3" t="s">
        <v>209</v>
      </c>
      <c r="C46" s="3" t="s">
        <v>210</v>
      </c>
      <c r="D46" s="3">
        <v>3500</v>
      </c>
      <c r="E46" s="3" t="s">
        <v>24</v>
      </c>
      <c r="F46" s="4">
        <v>46220</v>
      </c>
      <c r="G46" s="4">
        <v>46248</v>
      </c>
      <c r="H46" s="3" t="s">
        <v>211</v>
      </c>
      <c r="I46" s="3" t="s">
        <v>48</v>
      </c>
      <c r="J46" s="3" t="s">
        <v>27</v>
      </c>
      <c r="K46" s="3">
        <v>5</v>
      </c>
    </row>
    <row r="47" spans="1:11">
      <c r="A47" t="s">
        <v>212</v>
      </c>
      <c r="B47" s="3" t="s">
        <v>213</v>
      </c>
      <c r="C47" s="3" t="s">
        <v>214</v>
      </c>
      <c r="D47" s="3">
        <v>6200</v>
      </c>
      <c r="E47" s="3" t="s">
        <v>24</v>
      </c>
      <c r="F47" s="4">
        <v>46221</v>
      </c>
      <c r="G47" s="4">
        <v>46249</v>
      </c>
      <c r="H47" s="3" t="s">
        <v>215</v>
      </c>
      <c r="I47" s="3" t="s">
        <v>38</v>
      </c>
      <c r="J47" s="3" t="s">
        <v>27</v>
      </c>
      <c r="K47" s="3">
        <v>5</v>
      </c>
    </row>
    <row r="48" spans="1:11">
      <c r="A48" t="s">
        <v>216</v>
      </c>
      <c r="B48" s="3" t="s">
        <v>217</v>
      </c>
      <c r="C48" s="3" t="s">
        <v>218</v>
      </c>
      <c r="D48" s="3">
        <v>8800</v>
      </c>
      <c r="E48" s="3" t="s">
        <v>24</v>
      </c>
      <c r="F48" s="4">
        <v>46222</v>
      </c>
      <c r="G48" s="4">
        <v>46250</v>
      </c>
      <c r="H48" s="3" t="s">
        <v>219</v>
      </c>
      <c r="I48" s="3" t="s">
        <v>33</v>
      </c>
      <c r="J48" s="3" t="s">
        <v>27</v>
      </c>
      <c r="K48" s="3">
        <v>5</v>
      </c>
    </row>
    <row r="49" spans="1:11">
      <c r="A49" t="s">
        <v>220</v>
      </c>
      <c r="B49" s="3" t="s">
        <v>221</v>
      </c>
      <c r="C49" s="3" t="s">
        <v>222</v>
      </c>
      <c r="D49" s="3">
        <v>4400</v>
      </c>
      <c r="E49" s="3" t="s">
        <v>24</v>
      </c>
      <c r="F49" s="4">
        <v>46223</v>
      </c>
      <c r="G49" s="4">
        <v>46251</v>
      </c>
      <c r="H49" s="3" t="s">
        <v>223</v>
      </c>
      <c r="I49" s="3" t="s">
        <v>43</v>
      </c>
      <c r="J49" s="3" t="s">
        <v>27</v>
      </c>
      <c r="K49" s="3">
        <v>5</v>
      </c>
    </row>
    <row r="50" spans="1:11">
      <c r="A50" t="s">
        <v>224</v>
      </c>
      <c r="B50" s="3" t="s">
        <v>225</v>
      </c>
      <c r="C50" s="3" t="s">
        <v>226</v>
      </c>
      <c r="D50" s="3">
        <v>22000</v>
      </c>
      <c r="E50" s="3" t="s">
        <v>24</v>
      </c>
      <c r="F50" s="4">
        <v>46224</v>
      </c>
      <c r="G50" s="4">
        <v>46252</v>
      </c>
      <c r="H50" s="3" t="s">
        <v>227</v>
      </c>
      <c r="I50" s="3" t="s">
        <v>26</v>
      </c>
      <c r="J50" s="3" t="s">
        <v>27</v>
      </c>
      <c r="K50" s="3">
        <v>5</v>
      </c>
    </row>
    <row r="51" spans="1:11">
      <c r="A51" t="s">
        <v>228</v>
      </c>
      <c r="B51" t="s">
        <v>229</v>
      </c>
      <c r="C51" t="s">
        <v>230</v>
      </c>
      <c r="D51" s="3">
        <v>5200</v>
      </c>
      <c r="E51" s="3" t="s">
        <v>24</v>
      </c>
      <c r="F51" s="4">
        <v>46225</v>
      </c>
      <c r="G51" s="4">
        <v>46253</v>
      </c>
      <c r="H51" s="3" t="s">
        <v>231</v>
      </c>
      <c r="I51" s="3" t="s">
        <v>62</v>
      </c>
      <c r="J51" s="3" t="s">
        <v>27</v>
      </c>
      <c r="K5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Sheet7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alidada999-1@outlook.com</dc:creator>
  <cp:lastModifiedBy>alidada999-1@outlook.com</cp:lastModifiedBy>
  <dcterms:created xsi:type="dcterms:W3CDTF">2026-06-10T12:50:00Z</dcterms:created>
  <dcterms:modified xsi:type="dcterms:W3CDTF">2026-06-11T21:34:28Z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75C02923A559473E8F7E3F75B6BA3DCD_13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