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  <sheet state="visible" name="Sheet3" sheetId="2" r:id="rId5"/>
    <sheet state="visible" name="Sheet4" sheetId="3" r:id="rId6"/>
    <sheet state="visible" name="Sheet5" sheetId="4" r:id="rId7"/>
    <sheet state="visible" name="Sheet6" sheetId="5" r:id="rId8"/>
    <sheet state="visible" name="Sheet7" sheetId="6" r:id="rId9"/>
    <sheet state="visible" name="Sheet1" sheetId="7" r:id="rId10"/>
  </sheets>
  <definedNames>
    <definedName hidden="1" localSheetId="6" name="_xlnm._FilterDatabase">Sheet1!$A$1:$V$51</definedName>
  </definedNames>
  <calcPr/>
  <pivotCaches>
    <pivotCache cacheId="0" r:id="rId11"/>
    <pivotCache cacheId="1" r:id="rId12"/>
  </pivotCaches>
  <extLst>
    <ext uri="GoogleSheetsCustomDataVersion2">
      <go:sheetsCustomData xmlns:go="http://customooxmlschemas.google.com/" r:id="rId13" roundtripDataChecksum="SxDWXljw8bzGpyHa3UPorsDPBrGHr0mtNZ9YSVMmB5I="/>
    </ext>
  </extLst>
</workbook>
</file>

<file path=xl/sharedStrings.xml><?xml version="1.0" encoding="utf-8"?>
<sst xmlns="http://schemas.openxmlformats.org/spreadsheetml/2006/main" count="595" uniqueCount="294">
  <si>
    <t>Client_Services</t>
  </si>
  <si>
    <t>Revenue by Service</t>
  </si>
  <si>
    <t>AI Consultation</t>
  </si>
  <si>
    <t>AI Integration</t>
  </si>
  <si>
    <t>API Integration Services</t>
  </si>
  <si>
    <t>App Development</t>
  </si>
  <si>
    <t>Backend Development</t>
  </si>
  <si>
    <t>Big Data Analytics</t>
  </si>
  <si>
    <t>Blockchain Development</t>
  </si>
  <si>
    <t>Business Automation</t>
  </si>
  <si>
    <t>Business Intelligence</t>
  </si>
  <si>
    <t>Cloud Computing</t>
  </si>
  <si>
    <t>Cloud Migration</t>
  </si>
  <si>
    <t>Cloud Storage Solutions</t>
  </si>
  <si>
    <t>Content Strategy</t>
  </si>
  <si>
    <t>Content Writing</t>
  </si>
  <si>
    <t>Cyber Security</t>
  </si>
  <si>
    <t>Cyber Security Training</t>
  </si>
  <si>
    <t>Data Analysis</t>
  </si>
  <si>
    <t>Data Engineering</t>
  </si>
  <si>
    <t>Database Management</t>
  </si>
  <si>
    <t>DevOps Pipeline Setup</t>
  </si>
  <si>
    <t>Digital Marketing</t>
  </si>
  <si>
    <t xml:space="preserve">Digital Transformation </t>
  </si>
  <si>
    <t>E-commerce Setup</t>
  </si>
  <si>
    <t>E-commerce Solutions</t>
  </si>
  <si>
    <t>ERP System Implementation</t>
  </si>
  <si>
    <t>Game Development</t>
  </si>
  <si>
    <t>Generative AI Solutions</t>
  </si>
  <si>
    <t>Graphic Designing</t>
  </si>
  <si>
    <t>IT Consulting</t>
  </si>
  <si>
    <t>IT Disaster Recovery</t>
  </si>
  <si>
    <t>IT Infrastructure</t>
  </si>
  <si>
    <t>IT Support</t>
  </si>
  <si>
    <t>Local SEO</t>
  </si>
  <si>
    <t>Machine Learning</t>
  </si>
  <si>
    <t>Mobile App QA</t>
  </si>
  <si>
    <t>Natural Language Processing</t>
  </si>
  <si>
    <t>Network Administration</t>
  </si>
  <si>
    <t>Predictive Modeling</t>
  </si>
  <si>
    <t>Product Prototyping</t>
  </si>
  <si>
    <t>Remote IT Support</t>
  </si>
  <si>
    <t>SEO Optimization</t>
  </si>
  <si>
    <t>SEO Services</t>
  </si>
  <si>
    <t>Social Media Management</t>
  </si>
  <si>
    <t>Software Engineering</t>
  </si>
  <si>
    <t>Software Testing</t>
  </si>
  <si>
    <t>Tech Support</t>
  </si>
  <si>
    <t>UI/UX Design</t>
  </si>
  <si>
    <t>Web Design</t>
  </si>
  <si>
    <t>Wev Development</t>
  </si>
  <si>
    <t>Grand Total</t>
  </si>
  <si>
    <t>Project_Status</t>
  </si>
  <si>
    <t>Project Status Distribution</t>
  </si>
  <si>
    <t>In Progress</t>
  </si>
  <si>
    <t>Client_City</t>
  </si>
  <si>
    <t>Clients by City</t>
  </si>
  <si>
    <t>Abbottabad</t>
  </si>
  <si>
    <t>Attock</t>
  </si>
  <si>
    <t>Badeen</t>
  </si>
  <si>
    <t>Bahawalpur</t>
  </si>
  <si>
    <t>Chiniot</t>
  </si>
  <si>
    <t>Dadu</t>
  </si>
  <si>
    <t>Daira-ismail khan</t>
  </si>
  <si>
    <t>Faisalabad</t>
  </si>
  <si>
    <t>Gawadar</t>
  </si>
  <si>
    <t>Gilgit</t>
  </si>
  <si>
    <t>Gujranwala</t>
  </si>
  <si>
    <t>Gujrat</t>
  </si>
  <si>
    <t>Hydrabad</t>
  </si>
  <si>
    <t>Islamabad</t>
  </si>
  <si>
    <t>Jhelum</t>
  </si>
  <si>
    <t>Kamber</t>
  </si>
  <si>
    <t>Kamoke</t>
  </si>
  <si>
    <t>Kandhkot</t>
  </si>
  <si>
    <t>Karachi</t>
  </si>
  <si>
    <t>Kasur</t>
  </si>
  <si>
    <t>Khairpur</t>
  </si>
  <si>
    <t>Kohat</t>
  </si>
  <si>
    <t>Lahore</t>
  </si>
  <si>
    <t>Larkana</t>
  </si>
  <si>
    <t>Marden</t>
  </si>
  <si>
    <t>Matiari</t>
  </si>
  <si>
    <t>Mirpur</t>
  </si>
  <si>
    <t>Moro</t>
  </si>
  <si>
    <t>Multan</t>
  </si>
  <si>
    <t>Murree</t>
  </si>
  <si>
    <t>Muzaffarabad</t>
  </si>
  <si>
    <t>Nawabshah</t>
  </si>
  <si>
    <t>Oara</t>
  </si>
  <si>
    <t>Peshawar</t>
  </si>
  <si>
    <t>Pindi</t>
  </si>
  <si>
    <t>Quetta</t>
  </si>
  <si>
    <t>Sahiwal</t>
  </si>
  <si>
    <t>Sakardu</t>
  </si>
  <si>
    <t>Sanghar</t>
  </si>
  <si>
    <t>Sargoda</t>
  </si>
  <si>
    <t>Sehwan</t>
  </si>
  <si>
    <t>Shahdadkot</t>
  </si>
  <si>
    <t>Sheikhupura</t>
  </si>
  <si>
    <t>Sialkot</t>
  </si>
  <si>
    <t>Sukkur</t>
  </si>
  <si>
    <t>Tando-adam</t>
  </si>
  <si>
    <t>Taxila</t>
  </si>
  <si>
    <t>Thatta</t>
  </si>
  <si>
    <t>Umerkot</t>
  </si>
  <si>
    <t>Vehari</t>
  </si>
  <si>
    <t>Payment_Status</t>
  </si>
  <si>
    <t>Payment Status</t>
  </si>
  <si>
    <t>un-paid</t>
  </si>
  <si>
    <t>Sum of Project_Budget</t>
  </si>
  <si>
    <t>Average of Client_Rating</t>
  </si>
  <si>
    <t>Start_Date - Month</t>
  </si>
  <si>
    <t>Start_Date - Day-Month</t>
  </si>
  <si>
    <t>Projects by Date</t>
  </si>
  <si>
    <t>Jun</t>
  </si>
  <si>
    <t>3-Jun</t>
  </si>
  <si>
    <t>4-Jun</t>
  </si>
  <si>
    <t>5-Jun</t>
  </si>
  <si>
    <t>6-Jun</t>
  </si>
  <si>
    <t>7-Jun</t>
  </si>
  <si>
    <t>8-Jun</t>
  </si>
  <si>
    <t>9-Jun</t>
  </si>
  <si>
    <t>10-Jun</t>
  </si>
  <si>
    <t>11-Jun</t>
  </si>
  <si>
    <t>12-Jun</t>
  </si>
  <si>
    <t>13-Jun</t>
  </si>
  <si>
    <t>14-Jun</t>
  </si>
  <si>
    <t>15-Jun</t>
  </si>
  <si>
    <t>16-Jun</t>
  </si>
  <si>
    <t>17-Jun</t>
  </si>
  <si>
    <t>18-Jun</t>
  </si>
  <si>
    <t>19-Jun</t>
  </si>
  <si>
    <t>20-Jun</t>
  </si>
  <si>
    <t>21-Jun</t>
  </si>
  <si>
    <t>22-Jun</t>
  </si>
  <si>
    <t>23-Jun</t>
  </si>
  <si>
    <t>24-Jun</t>
  </si>
  <si>
    <t>25-Jun</t>
  </si>
  <si>
    <t>26-Jun</t>
  </si>
  <si>
    <t>27-Jun</t>
  </si>
  <si>
    <t>28-Jun</t>
  </si>
  <si>
    <t>29-Jun</t>
  </si>
  <si>
    <t>30-Jun</t>
  </si>
  <si>
    <t>Jul</t>
  </si>
  <si>
    <t>1-Jul</t>
  </si>
  <si>
    <t>2-Jul</t>
  </si>
  <si>
    <t>3-Jul</t>
  </si>
  <si>
    <t>4-Jul</t>
  </si>
  <si>
    <t>5-Jul</t>
  </si>
  <si>
    <t>6-Jul</t>
  </si>
  <si>
    <t>7-Jul</t>
  </si>
  <si>
    <t>8-Jul</t>
  </si>
  <si>
    <t>9-Jul</t>
  </si>
  <si>
    <t>10-Jul</t>
  </si>
  <si>
    <t>11-Jul</t>
  </si>
  <si>
    <t>12-Jul</t>
  </si>
  <si>
    <t>13-Jul</t>
  </si>
  <si>
    <t>14-Jul</t>
  </si>
  <si>
    <t>15-Jul</t>
  </si>
  <si>
    <t>16-Jul</t>
  </si>
  <si>
    <t>17-Jul</t>
  </si>
  <si>
    <t>18-Jul</t>
  </si>
  <si>
    <t>19-Jul</t>
  </si>
  <si>
    <t>20-Jul</t>
  </si>
  <si>
    <t>21-Jul</t>
  </si>
  <si>
    <t>22-Jul</t>
  </si>
  <si>
    <t>Client_ID</t>
  </si>
  <si>
    <t>Client_Name</t>
  </si>
  <si>
    <t>Project_Budget</t>
  </si>
  <si>
    <t>Start_Date</t>
  </si>
  <si>
    <t>End_Date</t>
  </si>
  <si>
    <t>Lead_Sources</t>
  </si>
  <si>
    <t>Client_Rating</t>
  </si>
  <si>
    <t>Total_Sum</t>
  </si>
  <si>
    <t>Average</t>
  </si>
  <si>
    <t>MAX</t>
  </si>
  <si>
    <t>Min</t>
  </si>
  <si>
    <t>Count</t>
  </si>
  <si>
    <t>highest/lowest budget</t>
  </si>
  <si>
    <t>Vlookuo/Xlookup</t>
  </si>
  <si>
    <t>Count A</t>
  </si>
  <si>
    <t>AverageIF</t>
  </si>
  <si>
    <t>SUMIF</t>
  </si>
  <si>
    <t>23-AI-01</t>
  </si>
  <si>
    <t>M.Ali</t>
  </si>
  <si>
    <t>Referral</t>
  </si>
  <si>
    <t>Low Budget</t>
  </si>
  <si>
    <t>23-AI-02</t>
  </si>
  <si>
    <t>Adil</t>
  </si>
  <si>
    <t>Google Ads</t>
  </si>
  <si>
    <t>23-AI-03</t>
  </si>
  <si>
    <t>Dilawar</t>
  </si>
  <si>
    <t>Email</t>
  </si>
  <si>
    <t>23-AI-04</t>
  </si>
  <si>
    <t>Yasir</t>
  </si>
  <si>
    <t>Instagram</t>
  </si>
  <si>
    <t>23-AI-05</t>
  </si>
  <si>
    <t>Mohsin</t>
  </si>
  <si>
    <t>Facebook</t>
  </si>
  <si>
    <t>23-AI-06</t>
  </si>
  <si>
    <t>Azan</t>
  </si>
  <si>
    <t>Cold Call</t>
  </si>
  <si>
    <t>23-AI-07</t>
  </si>
  <si>
    <t>Faraz</t>
  </si>
  <si>
    <t>23-AI-08</t>
  </si>
  <si>
    <t>Rehan</t>
  </si>
  <si>
    <t>LinkedIn</t>
  </si>
  <si>
    <t>23-AI-09</t>
  </si>
  <si>
    <t>Abbas</t>
  </si>
  <si>
    <t>Google Search</t>
  </si>
  <si>
    <t>23-AI-10</t>
  </si>
  <si>
    <t>Jahangeer</t>
  </si>
  <si>
    <t>23-AI-11</t>
  </si>
  <si>
    <t>Shayan</t>
  </si>
  <si>
    <t>23-AI-12</t>
  </si>
  <si>
    <t>Rehman</t>
  </si>
  <si>
    <t>Tech Event</t>
  </si>
  <si>
    <t>23-AI-13</t>
  </si>
  <si>
    <t>Rizwan</t>
  </si>
  <si>
    <t>23-AI-14</t>
  </si>
  <si>
    <t>Farhan</t>
  </si>
  <si>
    <t>23-AI-15</t>
  </si>
  <si>
    <t>Shoaib</t>
  </si>
  <si>
    <t>23-AI-16</t>
  </si>
  <si>
    <t>Huzaifa</t>
  </si>
  <si>
    <t>23-AI-17</t>
  </si>
  <si>
    <t>Izhar</t>
  </si>
  <si>
    <t>23-AI-18</t>
  </si>
  <si>
    <t>Umer</t>
  </si>
  <si>
    <t>23-AI-19</t>
  </si>
  <si>
    <t>Adnan</t>
  </si>
  <si>
    <t>23-AI-20</t>
  </si>
  <si>
    <t>Fayaz</t>
  </si>
  <si>
    <t>23-AI-21</t>
  </si>
  <si>
    <t>Muzamil</t>
  </si>
  <si>
    <t>23-AI-22</t>
  </si>
  <si>
    <t>Amjad</t>
  </si>
  <si>
    <t>23-AI-23</t>
  </si>
  <si>
    <t>Imran</t>
  </si>
  <si>
    <t>23-AI-24</t>
  </si>
  <si>
    <t>Kamran</t>
  </si>
  <si>
    <t>23-AI-25</t>
  </si>
  <si>
    <t>Sanaullah</t>
  </si>
  <si>
    <t>23-AI-26</t>
  </si>
  <si>
    <t>Rashid</t>
  </si>
  <si>
    <t>23-AI-27</t>
  </si>
  <si>
    <t>Rayay</t>
  </si>
  <si>
    <t>23-AI-28</t>
  </si>
  <si>
    <t>Wassey</t>
  </si>
  <si>
    <t>23-AI-29</t>
  </si>
  <si>
    <t>Shafay</t>
  </si>
  <si>
    <t>23-AI-30</t>
  </si>
  <si>
    <t>Manan</t>
  </si>
  <si>
    <t>23-AI-31</t>
  </si>
  <si>
    <t>Hanan</t>
  </si>
  <si>
    <t>23-AI-32</t>
  </si>
  <si>
    <t>Zohaib</t>
  </si>
  <si>
    <t>23-AI-33</t>
  </si>
  <si>
    <t>Arman</t>
  </si>
  <si>
    <t>23-AI-34</t>
  </si>
  <si>
    <t>Noman</t>
  </si>
  <si>
    <t>23-AI-35</t>
  </si>
  <si>
    <t>Sohail</t>
  </si>
  <si>
    <t>23-AI-36</t>
  </si>
  <si>
    <t>Amir</t>
  </si>
  <si>
    <t>23-AI-37</t>
  </si>
  <si>
    <t>Shakir</t>
  </si>
  <si>
    <t>23-AI-38</t>
  </si>
  <si>
    <t>Shahbaz</t>
  </si>
  <si>
    <t>23-AI-39</t>
  </si>
  <si>
    <t>Zamin</t>
  </si>
  <si>
    <t>23-AI-40</t>
  </si>
  <si>
    <t>Salman</t>
  </si>
  <si>
    <t>23-AI-41</t>
  </si>
  <si>
    <t>Zohan</t>
  </si>
  <si>
    <t>23-AI-42</t>
  </si>
  <si>
    <t>Ayan</t>
  </si>
  <si>
    <t>23-AI-43</t>
  </si>
  <si>
    <t>Rohail</t>
  </si>
  <si>
    <t>23-AI-44</t>
  </si>
  <si>
    <t>Nazeer</t>
  </si>
  <si>
    <t>23-AI-45</t>
  </si>
  <si>
    <t>Tariq</t>
  </si>
  <si>
    <t>23-AI-46</t>
  </si>
  <si>
    <t>Nasir</t>
  </si>
  <si>
    <t>23-AI-47</t>
  </si>
  <si>
    <t>Hussain</t>
  </si>
  <si>
    <t>23-AI-48</t>
  </si>
  <si>
    <t>Hasnain</t>
  </si>
  <si>
    <t>23-AI-49</t>
  </si>
  <si>
    <t>Farman</t>
  </si>
  <si>
    <t>23-AI-50</t>
  </si>
  <si>
    <t>Shahzaib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</si>
</sst>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Rs&quot;#,##0.00"/>
    <numFmt numFmtId="165" formatCode="m/d/yyyy h:mm:ss"/>
  </numFmts>
  <fonts count="4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0" xfId="0" applyAlignment="1" applyFont="1">
      <alignment horizontal="left"/>
    </xf>
    <xf borderId="0" fillId="0" fontId="1" numFmtId="164" xfId="0" applyFont="1" applyNumberFormat="1"/>
    <xf borderId="0" fillId="0" fontId="1" numFmtId="165" xfId="0" applyAlignment="1" applyFont="1" applyNumberFormat="1">
      <alignment horizontal="left"/>
    </xf>
    <xf borderId="0" fillId="0" fontId="1" numFmtId="165" xfId="0" applyFont="1" applyNumberFormat="1"/>
    <xf borderId="0" fillId="0" fontId="2" numFmtId="165" xfId="0" applyFont="1" applyNumberFormat="1"/>
    <xf borderId="0" fillId="0" fontId="3" numFmtId="0" xfId="0" applyFont="1"/>
    <xf borderId="0" fillId="0" fontId="3" numFmtId="164" xfId="0" applyFont="1" applyNumberFormat="1"/>
    <xf borderId="0" fillId="0" fontId="1" numFmtId="15" xfId="0" applyFont="1" applyNumberForma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pivotCacheDefinition" Target="pivotCache/pivotCacheDefinition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Revenue by service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Sheet2!$A$4:$A$54</c:f>
            </c:strRef>
          </c:cat>
          <c:val>
            <c:numRef>
              <c:f>Sheet2!$B$4:$B$54</c:f>
              <c:numCache/>
            </c:numRef>
          </c:val>
        </c:ser>
        <c:axId val="1430198421"/>
        <c:axId val="406326905"/>
      </c:barChart>
      <c:catAx>
        <c:axId val="143019842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06326905"/>
      </c:catAx>
      <c:valAx>
        <c:axId val="40632690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30198421"/>
        <c:crosses val="max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Project Status Distribution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Sheet3!$B$3</c:f>
            </c:strRef>
          </c:tx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Sheet3!$A$4:$A$6</c:f>
            </c:strRef>
          </c:cat>
          <c:val>
            <c:numRef>
              <c:f>Sheet3!$B$4:$B$6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Clients by City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Sheet4!$A$4:$A$55</c:f>
            </c:strRef>
          </c:cat>
          <c:val>
            <c:numRef>
              <c:f>Sheet4!$B$4:$B$55</c:f>
              <c:numCache/>
            </c:numRef>
          </c:val>
        </c:ser>
        <c:axId val="496474978"/>
        <c:axId val="339037768"/>
      </c:barChart>
      <c:catAx>
        <c:axId val="4964749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39037768"/>
      </c:catAx>
      <c:valAx>
        <c:axId val="3390377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96474978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Payment_Status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Sheet5!$B$3</c:f>
            </c:strRef>
          </c:tx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Sheet5!$A$4:$A$6</c:f>
            </c:strRef>
          </c:cat>
          <c:val>
            <c:numRef>
              <c:f>Sheet5!$B$4:$B$6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75"/>
      </c:doughnutChart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Sum of Project_Budget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Sheet6!$A$4:$A$54</c:f>
            </c:strRef>
          </c:cat>
          <c:val>
            <c:numRef>
              <c:f>Sheet6!$B$4:$B$54</c:f>
              <c:numCache/>
            </c:numRef>
          </c:val>
        </c:ser>
        <c:axId val="1174958135"/>
        <c:axId val="321607917"/>
      </c:barChart>
      <c:lineChart>
        <c:varyColors val="0"/>
        <c:ser>
          <c:idx val="1"/>
          <c:order val="1"/>
          <c:tx>
            <c:v>Average of Client_Rating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Sheet6!$A$4:$A$54</c:f>
            </c:strRef>
          </c:cat>
          <c:val>
            <c:numRef>
              <c:f>Sheet6!$C$4:$C$54</c:f>
              <c:numCache/>
            </c:numRef>
          </c:val>
          <c:smooth val="0"/>
        </c:ser>
        <c:axId val="1174958135"/>
        <c:axId val="321607917"/>
      </c:lineChart>
      <c:catAx>
        <c:axId val="11749581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21607917"/>
      </c:catAx>
      <c:valAx>
        <c:axId val="3216079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74958135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Projects by Date</a:t>
            </a:r>
          </a:p>
        </c:rich>
      </c:tx>
      <c:overlay val="0"/>
    </c:title>
    <c:plotArea>
      <c:layout/>
      <c:lineChart>
        <c:varyColors val="0"/>
        <c:axId val="1555693369"/>
        <c:axId val="1293186941"/>
      </c:lineChart>
      <c:catAx>
        <c:axId val="15556933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93186941"/>
      </c:catAx>
      <c:valAx>
        <c:axId val="1293186941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555693369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600075</xdr:colOff>
      <xdr:row>2</xdr:row>
      <xdr:rowOff>9525</xdr:rowOff>
    </xdr:from>
    <xdr:ext cx="4343400" cy="2876550"/>
    <xdr:graphicFrame>
      <xdr:nvGraphicFramePr>
        <xdr:cNvPr id="170896574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285750</xdr:colOff>
      <xdr:row>1</xdr:row>
      <xdr:rowOff>180975</xdr:rowOff>
    </xdr:from>
    <xdr:ext cx="4371975" cy="2905125"/>
    <xdr:graphicFrame>
      <xdr:nvGraphicFramePr>
        <xdr:cNvPr id="132161840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38100</xdr:colOff>
      <xdr:row>1</xdr:row>
      <xdr:rowOff>180975</xdr:rowOff>
    </xdr:from>
    <xdr:ext cx="4371975" cy="2886075"/>
    <xdr:graphicFrame>
      <xdr:nvGraphicFramePr>
        <xdr:cNvPr id="18521403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9525</xdr:colOff>
      <xdr:row>1</xdr:row>
      <xdr:rowOff>180975</xdr:rowOff>
    </xdr:from>
    <xdr:ext cx="4371975" cy="2886075"/>
    <xdr:graphicFrame>
      <xdr:nvGraphicFramePr>
        <xdr:cNvPr id="1394432336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438150</xdr:colOff>
      <xdr:row>2</xdr:row>
      <xdr:rowOff>19050</xdr:rowOff>
    </xdr:from>
    <xdr:ext cx="4343400" cy="2876550"/>
    <xdr:graphicFrame>
      <xdr:nvGraphicFramePr>
        <xdr:cNvPr id="21020602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466725</xdr:colOff>
      <xdr:row>1</xdr:row>
      <xdr:rowOff>171450</xdr:rowOff>
    </xdr:from>
    <xdr:ext cx="4371975" cy="2876550"/>
    <xdr:graphicFrame>
      <xdr:nvGraphicFramePr>
        <xdr:cNvPr id="1706972109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V51" sheet="Sheet1"/>
  </cacheSource>
  <cacheFields>
    <cacheField name="Client_ID" numFmtId="0">
      <sharedItems>
        <s v="23-AI-01"/>
        <s v="23-AI-02"/>
        <s v="23-AI-03"/>
        <s v="23-AI-04"/>
        <s v="23-AI-05"/>
        <s v="23-AI-06"/>
        <s v="23-AI-07"/>
        <s v="23-AI-08"/>
        <s v="23-AI-09"/>
        <s v="23-AI-10"/>
        <s v="23-AI-11"/>
        <s v="23-AI-12"/>
        <s v="23-AI-13"/>
        <s v="23-AI-14"/>
        <s v="23-AI-15"/>
        <s v="23-AI-16"/>
        <s v="23-AI-17"/>
        <s v="23-AI-18"/>
        <s v="23-AI-19"/>
        <s v="23-AI-20"/>
        <s v="23-AI-21"/>
        <s v="23-AI-22"/>
        <s v="23-AI-23"/>
        <s v="23-AI-24"/>
        <s v="23-AI-25"/>
        <s v="23-AI-26"/>
        <s v="23-AI-27"/>
        <s v="23-AI-28"/>
        <s v="23-AI-29"/>
        <s v="23-AI-30"/>
        <s v="23-AI-31"/>
        <s v="23-AI-32"/>
        <s v="23-AI-33"/>
        <s v="23-AI-34"/>
        <s v="23-AI-35"/>
        <s v="23-AI-36"/>
        <s v="23-AI-37"/>
        <s v="23-AI-38"/>
        <s v="23-AI-39"/>
        <s v="23-AI-40"/>
        <s v="23-AI-41"/>
        <s v="23-AI-42"/>
        <s v="23-AI-43"/>
        <s v="23-AI-44"/>
        <s v="23-AI-45"/>
        <s v="23-AI-46"/>
        <s v="23-AI-47"/>
        <s v="23-AI-48"/>
        <s v="23-AI-49"/>
        <s v="23-AI-50"/>
      </sharedItems>
    </cacheField>
    <cacheField name="Client_Name" numFmtId="0">
      <sharedItems>
        <s v="M.Ali"/>
        <s v="Adil"/>
        <s v="Dilawar"/>
        <s v="Yasir"/>
        <s v="Mohsin"/>
        <s v="Azan"/>
        <s v="Faraz"/>
        <s v="Rehan"/>
        <s v="Abbas"/>
        <s v="Jahangeer"/>
        <s v="Shayan"/>
        <s v="Rehman"/>
        <s v="Rizwan"/>
        <s v="Farhan"/>
        <s v="Shoaib"/>
        <s v="Huzaifa"/>
        <s v="Izhar"/>
        <s v="Umer"/>
        <s v="Adnan"/>
        <s v="Fayaz"/>
        <s v="Muzamil"/>
        <s v="Amjad"/>
        <s v="Imran"/>
        <s v="Kamran"/>
        <s v="Sanaullah"/>
        <s v="Rashid"/>
        <s v="Rayay"/>
        <s v="Wassey"/>
        <s v="Shafay"/>
        <s v="Manan"/>
        <s v="Hanan"/>
        <s v="Zohaib"/>
        <s v="Arman"/>
        <s v="Noman"/>
        <s v="Sohail"/>
        <s v="Amir"/>
        <s v="Shakir"/>
        <s v="Shahbaz"/>
        <s v="Zamin"/>
        <s v="Salman"/>
        <s v="Zohan"/>
        <s v="Ayan"/>
        <s v="Rohail"/>
        <s v="Nazeer"/>
        <s v="Tariq"/>
        <s v="Nasir"/>
        <s v="Hussain"/>
        <s v="Hasnain"/>
        <s v="Farman"/>
        <s v="Shahzaib"/>
      </sharedItems>
    </cacheField>
    <cacheField name="Client_Services" numFmtId="0">
      <sharedItems>
        <s v="Data Analysis"/>
        <s v="AI Consultation"/>
        <s v="Cyber Security"/>
        <s v="Cloud Computing"/>
        <s v="App Development"/>
        <s v="SEO Services"/>
        <s v="IT Support"/>
        <s v="UI/UX Design"/>
        <s v="E-commerce Solutions"/>
        <s v="Digital Marketing"/>
        <s v="Software Engineering"/>
        <s v="Game Development"/>
        <s v="Machine Learning"/>
        <s v="Graphic Designing"/>
        <s v="Network Administration"/>
        <s v="IT Consulting"/>
        <s v="Business Intelligence"/>
        <s v="Content Strategy"/>
        <s v="Web Design"/>
        <s v="Database Management"/>
        <s v="Cloud Migration"/>
        <s v="SEO Optimization"/>
        <s v="Tech Support"/>
        <s v="E-commerce Setup"/>
        <s v="Social Media Management"/>
        <s v="Software Testing"/>
        <s v="AI Integration"/>
        <s v="IT Infrastructure"/>
        <s v="Content Writing"/>
        <s v="Backend Development"/>
        <s v="Cloud Storage Solutions"/>
        <s v="Cyber Security Training"/>
        <s v="Mobile App QA"/>
        <s v="Local SEO"/>
        <s v="Remote IT Support"/>
        <s v="Product Prototyping"/>
        <s v="Digital Transformation "/>
        <s v="Data Engineering"/>
        <s v="Predictive Modeling"/>
        <s v="DevOps Pipeline Setup"/>
        <s v="Blockchain Development"/>
        <s v="API Integration Services"/>
        <s v="IT Disaster Recovery"/>
        <s v="ERP System Implementation"/>
        <s v="Business Automation"/>
        <s v="Generative AI Solutions"/>
        <s v="Big Data Analytics"/>
        <s v="Natural Language Processing"/>
        <s v="Wev Development"/>
      </sharedItems>
    </cacheField>
    <cacheField name="Data Analysis" numFmtId="0">
      <sharedItems>
        <s v="Data Analysis"/>
        <s v="Ai Consultation"/>
        <s v="Cyber Security"/>
        <s v="Cloud Computing"/>
        <s v="App Development"/>
        <s v="Seo Services"/>
        <s v="It Support"/>
        <s v="Ui/Ux Design"/>
        <s v="E-Commerce Solutions"/>
        <s v="Digital Marketing"/>
        <s v="Software Engineering"/>
        <s v="Game Development"/>
        <s v="Machine Learning"/>
        <s v="Graphic Designing"/>
        <s v="Network Administration"/>
        <s v="It Consulting"/>
        <s v="Business Intelligence"/>
        <s v="Content Strategy"/>
        <s v="Web Design"/>
        <s v="Database Management"/>
        <s v="Cloud Migration"/>
        <s v="Seo Optimization"/>
        <s v="Tech Support"/>
        <s v="E-Commerce Setup"/>
        <s v="Social Media Management"/>
        <s v="Software Testing"/>
        <s v="Ai Integration"/>
        <s v="It Infrastructure"/>
        <s v="Content Writing"/>
        <s v="Backend Development"/>
        <s v="Cloud Storage Solutions"/>
        <s v="Cyber Security Training"/>
        <s v="Mobile App Qa"/>
        <s v="Local Seo"/>
        <s v="Remote It Support"/>
        <s v="Product Prototyping"/>
        <s v="Digital Transformation "/>
        <s v="Data Engineering"/>
        <s v="Predictive Modeling"/>
        <s v="Devops Pipeline Setup"/>
        <s v="Blockchain Development"/>
        <s v="Api Integration Services"/>
        <s v="It Disaster Recovery"/>
        <s v="Erp System Implementation"/>
        <s v="Business Automation"/>
        <s v="Generative Ai Solutions"/>
        <s v="Big Data Analytics"/>
        <s v="Natural Language Processing"/>
        <s v="Wev Development"/>
      </sharedItems>
    </cacheField>
    <cacheField name="Project_Budget" numFmtId="164">
      <sharedItems containsSemiMixedTypes="0" containsString="0" containsNumber="1" containsInteger="1">
        <n v="2500.0"/>
        <n v="4500.0"/>
        <n v="8000.0"/>
        <n v="900.0"/>
        <n v="3200.0"/>
        <n v="6000.0"/>
        <n v="1500.0"/>
        <n v="11000.0"/>
        <n v="1100.0"/>
        <n v="2000.0"/>
        <n v="9500.0"/>
        <n v="7000.0"/>
        <n v="3800.0"/>
        <n v="15000.0"/>
        <n v="5500.0"/>
        <n v="1300.0"/>
        <n v="7200.0"/>
        <n v="6500.0"/>
        <n v="12000.0"/>
        <n v="4200.0"/>
        <n v="25000.0"/>
        <n v="2800.0"/>
        <n v="2200.0"/>
        <n v="18000.0"/>
        <n v="45000.0"/>
        <n v="8500.0"/>
        <n v="35000.0"/>
        <n v="5800.0"/>
        <n v="9000.0"/>
        <n v="1800.0"/>
        <n v="5200.0"/>
        <n v="3000.0"/>
        <n v="4100.0"/>
        <n v="5000.0"/>
        <n v="14000.0"/>
        <n v="4800.0"/>
        <n v="12500.0"/>
        <n v="3500.0"/>
        <n v="6200.0"/>
        <n v="8800.0"/>
        <n v="4400.0"/>
        <n v="22000.0"/>
      </sharedItems>
    </cacheField>
    <cacheField name="Project_Status" numFmtId="0">
      <sharedItems>
        <s v="In Progress"/>
      </sharedItems>
    </cacheField>
    <cacheField name="Start_Date" numFmtId="15">
      <sharedItems containsSemiMixedTypes="0" containsDate="1" containsString="0">
        <d v="2026-06-03T00:00:00Z"/>
        <d v="2026-06-04T00:00:00Z"/>
        <d v="2026-06-05T00:00:00Z"/>
        <d v="2026-06-06T00:00:00Z"/>
        <d v="2026-06-07T00:00:00Z"/>
        <d v="2026-06-08T00:00:00Z"/>
        <d v="2026-06-09T00:00:00Z"/>
        <d v="2026-06-10T00:00:00Z"/>
        <d v="2026-06-11T00:00:00Z"/>
        <d v="2026-06-12T00:00:00Z"/>
        <d v="2026-06-13T00:00:00Z"/>
        <d v="2026-06-14T00:00:00Z"/>
        <d v="2026-06-15T00:00:00Z"/>
        <d v="2026-06-16T00:00:00Z"/>
        <d v="2026-06-17T00:00:00Z"/>
        <d v="2026-06-18T00:00:00Z"/>
        <d v="2026-06-19T00:00:00Z"/>
        <d v="2026-06-20T00:00:00Z"/>
        <d v="2026-06-21T00:00:00Z"/>
        <d v="2026-06-22T00:00:00Z"/>
        <d v="2026-06-23T00:00:00Z"/>
        <d v="2026-06-24T00:00:00Z"/>
        <d v="2026-06-25T00:00:00Z"/>
        <d v="2026-06-26T00:00:00Z"/>
        <d v="2026-06-27T00:00:00Z"/>
        <d v="2026-06-28T00:00:00Z"/>
        <d v="2026-06-29T00:00:00Z"/>
        <d v="2026-06-30T00:00:00Z"/>
        <d v="2026-07-01T00:00:00Z"/>
        <d v="2026-07-02T00:00:00Z"/>
        <d v="2026-07-03T00:00:00Z"/>
        <d v="2026-07-04T00:00:00Z"/>
        <d v="2026-07-05T00:00:00Z"/>
        <d v="2026-07-06T00:00:00Z"/>
        <d v="2026-07-07T00:00:00Z"/>
        <d v="2026-07-08T00:00:00Z"/>
        <d v="2026-07-09T00:00:00Z"/>
        <d v="2026-07-10T00:00:00Z"/>
        <d v="2026-07-11T00:00:00Z"/>
        <d v="2026-07-12T00:00:00Z"/>
        <d v="2026-07-13T00:00:00Z"/>
        <d v="2026-07-14T00:00:00Z"/>
        <d v="2026-07-15T00:00:00Z"/>
        <d v="2026-07-16T00:00:00Z"/>
        <d v="2026-07-17T00:00:00Z"/>
        <d v="2026-07-18T00:00:00Z"/>
        <d v="2026-07-19T00:00:00Z"/>
        <d v="2026-07-20T00:00:00Z"/>
        <d v="2026-07-21T00:00:00Z"/>
        <d v="2026-07-22T00:00:00Z"/>
      </sharedItems>
    </cacheField>
    <cacheField name="End_Date" numFmtId="15">
      <sharedItems containsSemiMixedTypes="0" containsDate="1" containsString="0">
        <d v="2026-07-01T00:00:00Z"/>
        <d v="2026-07-02T00:00:00Z"/>
        <d v="2026-07-03T00:00:00Z"/>
        <d v="2026-07-04T00:00:00Z"/>
        <d v="2026-07-05T00:00:00Z"/>
        <d v="2026-07-06T00:00:00Z"/>
        <d v="2026-07-07T00:00:00Z"/>
        <d v="2026-07-08T00:00:00Z"/>
        <d v="2026-07-09T00:00:00Z"/>
        <d v="2026-07-10T00:00:00Z"/>
        <d v="2026-07-11T00:00:00Z"/>
        <d v="2026-07-12T00:00:00Z"/>
        <d v="2026-07-13T00:00:00Z"/>
        <d v="2026-07-14T00:00:00Z"/>
        <d v="2026-07-15T00:00:00Z"/>
        <d v="2026-07-16T00:00:00Z"/>
        <d v="2026-07-17T00:00:00Z"/>
        <d v="2026-07-18T00:00:00Z"/>
        <d v="2026-07-19T00:00:00Z"/>
        <d v="2026-07-20T00:00:00Z"/>
        <d v="2026-07-21T00:00:00Z"/>
        <d v="2026-07-22T00:00:00Z"/>
        <d v="2026-07-23T00:00:00Z"/>
        <d v="2026-07-24T00:00:00Z"/>
        <d v="2026-07-25T00:00:00Z"/>
        <d v="2026-07-26T00:00:00Z"/>
        <d v="2026-07-27T00:00:00Z"/>
        <d v="2026-07-28T00:00:00Z"/>
        <d v="2026-07-29T00:00:00Z"/>
        <d v="2026-07-30T00:00:00Z"/>
        <d v="2026-07-31T00:00:00Z"/>
        <d v="2026-08-01T00:00:00Z"/>
        <d v="2026-08-02T00:00:00Z"/>
        <d v="2026-08-03T00:00:00Z"/>
        <d v="2026-08-04T00:00:00Z"/>
        <d v="2026-08-05T00:00:00Z"/>
        <d v="2026-08-06T00:00:00Z"/>
        <d v="2026-08-07T00:00:00Z"/>
        <d v="2026-08-08T00:00:00Z"/>
        <d v="2026-08-09T00:00:00Z"/>
        <d v="2026-08-10T00:00:00Z"/>
        <d v="2026-08-11T00:00:00Z"/>
        <d v="2026-08-12T00:00:00Z"/>
        <d v="2026-08-13T00:00:00Z"/>
        <d v="2026-08-14T00:00:00Z"/>
        <d v="2026-08-15T00:00:00Z"/>
        <d v="2026-08-16T00:00:00Z"/>
        <d v="2026-08-17T00:00:00Z"/>
        <d v="2026-08-18T00:00:00Z"/>
        <d v="2026-08-19T00:00:00Z"/>
      </sharedItems>
    </cacheField>
    <cacheField name="Client_City" numFmtId="0">
      <sharedItems>
        <s v="Nawabshah"/>
        <s v="Karachi"/>
        <s v="Islamabad"/>
        <s v="Lahore"/>
        <s v="Multan"/>
        <s v="Hydrabad"/>
        <s v="Pindi"/>
        <s v="Sukkur"/>
        <s v="Moro"/>
        <s v="Dadu"/>
        <s v="Faisalabad"/>
        <s v="Quetta"/>
        <s v="Peshawar"/>
        <s v="Sialkot"/>
        <s v="Gujranwala"/>
        <s v="Larkana"/>
        <s v="Mirpur"/>
        <s v="Thatta"/>
        <s v="Badeen"/>
        <s v="Khairpur"/>
        <s v="Sargoda"/>
        <s v="Bahawalpur"/>
        <s v="Abbottabad"/>
        <s v="Gawadar"/>
        <s v="Sahiwal"/>
        <s v="Jhelum"/>
        <s v="Gujrat"/>
        <s v="Sheikhupura"/>
        <s v="Oara"/>
        <s v="Kasur"/>
        <s v="Chiniot"/>
        <s v="Kamoke"/>
        <s v="Marden"/>
        <s v="Kohat"/>
        <s v="Daira-ismail khan"/>
        <s v="Gilgit"/>
        <s v="Sakardu"/>
        <s v="Muzaffarabad"/>
        <s v="Shahdadkot"/>
        <s v="Kandhkot"/>
        <s v="Kamber"/>
        <s v="Sehwan"/>
        <s v="Tando-adam"/>
        <s v="Sanghar"/>
        <s v="Umerkot"/>
        <s v="Matiari"/>
        <s v="Attock"/>
        <s v="Murree"/>
        <s v="Vehari"/>
        <s v="Taxila"/>
      </sharedItems>
    </cacheField>
    <cacheField name="Lead_Sources" numFmtId="0">
      <sharedItems>
        <s v="Referral"/>
        <s v="Google Ads"/>
        <s v="Email"/>
        <s v="Instagram"/>
        <s v="Facebook"/>
        <s v="Cold Call"/>
        <s v="LinkedIn"/>
        <s v="Google Search"/>
        <s v="Tech Event"/>
      </sharedItems>
    </cacheField>
    <cacheField name="Payment_Status" numFmtId="0">
      <sharedItems>
        <s v="un-paid"/>
      </sharedItems>
    </cacheField>
    <cacheField name="Client_Rating" numFmtId="0">
      <sharedItems containsSemiMixedTypes="0" containsString="0" containsNumber="1" containsInteger="1">
        <n v="5.0"/>
      </sharedItems>
    </cacheField>
    <cacheField name="Total_Sum" numFmtId="164">
      <sharedItems containsString="0" containsBlank="1" containsNumber="1" containsInteger="1">
        <n v="412200.0"/>
        <m/>
      </sharedItems>
    </cacheField>
    <cacheField name="Average" numFmtId="164">
      <sharedItems containsString="0" containsBlank="1" containsNumber="1" containsInteger="1">
        <n v="8244.0"/>
        <m/>
      </sharedItems>
    </cacheField>
    <cacheField name="MAX" numFmtId="164">
      <sharedItems containsString="0" containsBlank="1" containsNumber="1" containsInteger="1">
        <n v="45000.0"/>
        <m/>
      </sharedItems>
    </cacheField>
    <cacheField name="Min" numFmtId="164">
      <sharedItems containsString="0" containsBlank="1" containsNumber="1" containsInteger="1">
        <n v="900.0"/>
        <m/>
      </sharedItems>
    </cacheField>
    <cacheField name="Count" numFmtId="0">
      <sharedItems containsString="0" containsBlank="1" containsNumber="1" containsInteger="1">
        <n v="50.0"/>
        <m/>
      </sharedItems>
    </cacheField>
    <cacheField name="highest/lowest budget" numFmtId="0">
      <sharedItems containsBlank="1">
        <s v="Low Budget"/>
        <m/>
      </sharedItems>
    </cacheField>
    <cacheField name="Vlookuo/Xlookup" numFmtId="0">
      <sharedItems containsBlank="1">
        <s v="M.Ali"/>
        <m/>
      </sharedItems>
    </cacheField>
    <cacheField name="Count A" numFmtId="0">
      <sharedItems containsString="0" containsBlank="1" containsNumber="1" containsInteger="1">
        <n v="50.0"/>
        <m/>
      </sharedItems>
    </cacheField>
    <cacheField name="AverageIF" numFmtId="0">
      <sharedItems containsString="0" containsBlank="1" containsNumber="1">
        <n v="11861.538461538461"/>
        <m/>
      </sharedItems>
    </cacheField>
    <cacheField name="SUMIF" numFmtId="0">
      <sharedItems containsString="0" containsBlank="1" containsNumber="1" containsInteger="1">
        <n v="15420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V51" sheet="Sheet1"/>
  </cacheSource>
  <cacheFields>
    <cacheField name="Client_ID" numFmtId="0">
      <sharedItems>
        <s v="23-AI-01"/>
        <s v="23-AI-02"/>
        <s v="23-AI-03"/>
        <s v="23-AI-04"/>
        <s v="23-AI-05"/>
        <s v="23-AI-06"/>
        <s v="23-AI-07"/>
        <s v="23-AI-08"/>
        <s v="23-AI-09"/>
        <s v="23-AI-10"/>
        <s v="23-AI-11"/>
        <s v="23-AI-12"/>
        <s v="23-AI-13"/>
        <s v="23-AI-14"/>
        <s v="23-AI-15"/>
        <s v="23-AI-16"/>
        <s v="23-AI-17"/>
        <s v="23-AI-18"/>
        <s v="23-AI-19"/>
        <s v="23-AI-20"/>
        <s v="23-AI-21"/>
        <s v="23-AI-22"/>
        <s v="23-AI-23"/>
        <s v="23-AI-24"/>
        <s v="23-AI-25"/>
        <s v="23-AI-26"/>
        <s v="23-AI-27"/>
        <s v="23-AI-28"/>
        <s v="23-AI-29"/>
        <s v="23-AI-30"/>
        <s v="23-AI-31"/>
        <s v="23-AI-32"/>
        <s v="23-AI-33"/>
        <s v="23-AI-34"/>
        <s v="23-AI-35"/>
        <s v="23-AI-36"/>
        <s v="23-AI-37"/>
        <s v="23-AI-38"/>
        <s v="23-AI-39"/>
        <s v="23-AI-40"/>
        <s v="23-AI-41"/>
        <s v="23-AI-42"/>
        <s v="23-AI-43"/>
        <s v="23-AI-44"/>
        <s v="23-AI-45"/>
        <s v="23-AI-46"/>
        <s v="23-AI-47"/>
        <s v="23-AI-48"/>
        <s v="23-AI-49"/>
        <s v="23-AI-50"/>
      </sharedItems>
    </cacheField>
    <cacheField name="Client_Name" numFmtId="0">
      <sharedItems>
        <s v="M.Ali"/>
        <s v="Adil"/>
        <s v="Dilawar"/>
        <s v="Yasir"/>
        <s v="Mohsin"/>
        <s v="Azan"/>
        <s v="Faraz"/>
        <s v="Rehan"/>
        <s v="Abbas"/>
        <s v="Jahangeer"/>
        <s v="Shayan"/>
        <s v="Rehman"/>
        <s v="Rizwan"/>
        <s v="Farhan"/>
        <s v="Shoaib"/>
        <s v="Huzaifa"/>
        <s v="Izhar"/>
        <s v="Umer"/>
        <s v="Adnan"/>
        <s v="Fayaz"/>
        <s v="Muzamil"/>
        <s v="Amjad"/>
        <s v="Imran"/>
        <s v="Kamran"/>
        <s v="Sanaullah"/>
        <s v="Rashid"/>
        <s v="Rayay"/>
        <s v="Wassey"/>
        <s v="Shafay"/>
        <s v="Manan"/>
        <s v="Hanan"/>
        <s v="Zohaib"/>
        <s v="Arman"/>
        <s v="Noman"/>
        <s v="Sohail"/>
        <s v="Amir"/>
        <s v="Shakir"/>
        <s v="Shahbaz"/>
        <s v="Zamin"/>
        <s v="Salman"/>
        <s v="Zohan"/>
        <s v="Ayan"/>
        <s v="Rohail"/>
        <s v="Nazeer"/>
        <s v="Tariq"/>
        <s v="Nasir"/>
        <s v="Hussain"/>
        <s v="Hasnain"/>
        <s v="Farman"/>
        <s v="Shahzaib"/>
      </sharedItems>
    </cacheField>
    <cacheField name="Client_Services" numFmtId="0">
      <sharedItems>
        <s v="Data Analysis"/>
        <s v="AI Consultation"/>
        <s v="Cyber Security"/>
        <s v="Cloud Computing"/>
        <s v="App Development"/>
        <s v="SEO Services"/>
        <s v="IT Support"/>
        <s v="UI/UX Design"/>
        <s v="E-commerce Solutions"/>
        <s v="Digital Marketing"/>
        <s v="Software Engineering"/>
        <s v="Game Development"/>
        <s v="Machine Learning"/>
        <s v="Graphic Designing"/>
        <s v="Network Administration"/>
        <s v="IT Consulting"/>
        <s v="Business Intelligence"/>
        <s v="Content Strategy"/>
        <s v="Web Design"/>
        <s v="Database Management"/>
        <s v="Cloud Migration"/>
        <s v="SEO Optimization"/>
        <s v="Tech Support"/>
        <s v="E-commerce Setup"/>
        <s v="Social Media Management"/>
        <s v="Software Testing"/>
        <s v="AI Integration"/>
        <s v="IT Infrastructure"/>
        <s v="Content Writing"/>
        <s v="Backend Development"/>
        <s v="Cloud Storage Solutions"/>
        <s v="Cyber Security Training"/>
        <s v="Mobile App QA"/>
        <s v="Local SEO"/>
        <s v="Remote IT Support"/>
        <s v="Product Prototyping"/>
        <s v="Digital Transformation "/>
        <s v="Data Engineering"/>
        <s v="Predictive Modeling"/>
        <s v="DevOps Pipeline Setup"/>
        <s v="Blockchain Development"/>
        <s v="API Integration Services"/>
        <s v="IT Disaster Recovery"/>
        <s v="ERP System Implementation"/>
        <s v="Business Automation"/>
        <s v="Generative AI Solutions"/>
        <s v="Big Data Analytics"/>
        <s v="Natural Language Processing"/>
        <s v="Wev Development"/>
      </sharedItems>
    </cacheField>
    <cacheField name="Data Analysis" numFmtId="0">
      <sharedItems>
        <s v="Data Analysis"/>
        <s v="Ai Consultation"/>
        <s v="Cyber Security"/>
        <s v="Cloud Computing"/>
        <s v="App Development"/>
        <s v="Seo Services"/>
        <s v="It Support"/>
        <s v="Ui/Ux Design"/>
        <s v="E-Commerce Solutions"/>
        <s v="Digital Marketing"/>
        <s v="Software Engineering"/>
        <s v="Game Development"/>
        <s v="Machine Learning"/>
        <s v="Graphic Designing"/>
        <s v="Network Administration"/>
        <s v="It Consulting"/>
        <s v="Business Intelligence"/>
        <s v="Content Strategy"/>
        <s v="Web Design"/>
        <s v="Database Management"/>
        <s v="Cloud Migration"/>
        <s v="Seo Optimization"/>
        <s v="Tech Support"/>
        <s v="E-Commerce Setup"/>
        <s v="Social Media Management"/>
        <s v="Software Testing"/>
        <s v="Ai Integration"/>
        <s v="It Infrastructure"/>
        <s v="Content Writing"/>
        <s v="Backend Development"/>
        <s v="Cloud Storage Solutions"/>
        <s v="Cyber Security Training"/>
        <s v="Mobile App Qa"/>
        <s v="Local Seo"/>
        <s v="Remote It Support"/>
        <s v="Product Prototyping"/>
        <s v="Digital Transformation "/>
        <s v="Data Engineering"/>
        <s v="Predictive Modeling"/>
        <s v="Devops Pipeline Setup"/>
        <s v="Blockchain Development"/>
        <s v="Api Integration Services"/>
        <s v="It Disaster Recovery"/>
        <s v="Erp System Implementation"/>
        <s v="Business Automation"/>
        <s v="Generative Ai Solutions"/>
        <s v="Big Data Analytics"/>
        <s v="Natural Language Processing"/>
        <s v="Wev Development"/>
      </sharedItems>
    </cacheField>
    <cacheField name="Project_Budget" numFmtId="164">
      <sharedItems containsSemiMixedTypes="0" containsString="0" containsNumber="1" containsInteger="1">
        <n v="2500.0"/>
        <n v="4500.0"/>
        <n v="8000.0"/>
        <n v="900.0"/>
        <n v="3200.0"/>
        <n v="6000.0"/>
        <n v="1500.0"/>
        <n v="11000.0"/>
        <n v="1100.0"/>
        <n v="2000.0"/>
        <n v="9500.0"/>
        <n v="7000.0"/>
        <n v="3800.0"/>
        <n v="15000.0"/>
        <n v="5500.0"/>
        <n v="1300.0"/>
        <n v="7200.0"/>
        <n v="6500.0"/>
        <n v="12000.0"/>
        <n v="4200.0"/>
        <n v="25000.0"/>
        <n v="2800.0"/>
        <n v="2200.0"/>
        <n v="18000.0"/>
        <n v="45000.0"/>
        <n v="8500.0"/>
        <n v="35000.0"/>
        <n v="5800.0"/>
        <n v="9000.0"/>
        <n v="1800.0"/>
        <n v="5200.0"/>
        <n v="3000.0"/>
        <n v="4100.0"/>
        <n v="5000.0"/>
        <n v="14000.0"/>
        <n v="4800.0"/>
        <n v="12500.0"/>
        <n v="3500.0"/>
        <n v="6200.0"/>
        <n v="8800.0"/>
        <n v="4400.0"/>
        <n v="22000.0"/>
      </sharedItems>
    </cacheField>
    <cacheField name="Project_Status" numFmtId="0">
      <sharedItems>
        <s v="In Progress"/>
      </sharedItems>
    </cacheField>
    <cacheField name="Start_Date" numFmtId="15">
      <sharedItems containsSemiMixedTypes="0" containsNonDate="0" containsDate="1" containsString="0" minDate="2026-06-03T00:00:00Z" maxDate="2026-07-23T00:00:00Z">
        <d v="2026-06-03T00:00:00Z"/>
        <d v="2026-06-04T00:00:00Z"/>
        <d v="2026-06-05T00:00:00Z"/>
        <d v="2026-06-06T00:00:00Z"/>
        <d v="2026-06-07T00:00:00Z"/>
        <d v="2026-06-08T00:00:00Z"/>
        <d v="2026-06-09T00:00:00Z"/>
        <d v="2026-06-10T00:00:00Z"/>
        <d v="2026-06-11T00:00:00Z"/>
        <d v="2026-06-12T00:00:00Z"/>
        <d v="2026-06-13T00:00:00Z"/>
        <d v="2026-06-14T00:00:00Z"/>
        <d v="2026-06-15T00:00:00Z"/>
        <d v="2026-06-16T00:00:00Z"/>
        <d v="2026-06-17T00:00:00Z"/>
        <d v="2026-06-18T00:00:00Z"/>
        <d v="2026-06-19T00:00:00Z"/>
        <d v="2026-06-20T00:00:00Z"/>
        <d v="2026-06-21T00:00:00Z"/>
        <d v="2026-06-22T00:00:00Z"/>
        <d v="2026-06-23T00:00:00Z"/>
        <d v="2026-06-24T00:00:00Z"/>
        <d v="2026-06-25T00:00:00Z"/>
        <d v="2026-06-26T00:00:00Z"/>
        <d v="2026-06-27T00:00:00Z"/>
        <d v="2026-06-28T00:00:00Z"/>
        <d v="2026-06-29T00:00:00Z"/>
        <d v="2026-06-30T00:00:00Z"/>
        <d v="2026-07-01T00:00:00Z"/>
        <d v="2026-07-02T00:00:00Z"/>
        <d v="2026-07-03T00:00:00Z"/>
        <d v="2026-07-04T00:00:00Z"/>
        <d v="2026-07-05T00:00:00Z"/>
        <d v="2026-07-06T00:00:00Z"/>
        <d v="2026-07-07T00:00:00Z"/>
        <d v="2026-07-08T00:00:00Z"/>
        <d v="2026-07-09T00:00:00Z"/>
        <d v="2026-07-10T00:00:00Z"/>
        <d v="2026-07-11T00:00:00Z"/>
        <d v="2026-07-12T00:00:00Z"/>
        <d v="2026-07-13T00:00:00Z"/>
        <d v="2026-07-14T00:00:00Z"/>
        <d v="2026-07-15T00:00:00Z"/>
        <d v="2026-07-16T00:00:00Z"/>
        <d v="2026-07-17T00:00:00Z"/>
        <d v="2026-07-18T00:00:00Z"/>
        <d v="2026-07-19T00:00:00Z"/>
        <d v="2026-07-20T00:00:00Z"/>
        <d v="2026-07-21T00:00:00Z"/>
        <d v="2026-07-22T00:00:00Z"/>
      </sharedItems>
      <fieldGroup par="22" base="6">
        <rangePr autoStart="0" autoEnd="0" groupBy="days" startDate="2026-06-03T00:00:00Z" endDate="2026-07-23T00:00:00Z"/>
        <groupItems>
          <s v="&lt;06/03/2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7/23/26"/>
        </groupItems>
      </fieldGroup>
    </cacheField>
    <cacheField name="End_Date" numFmtId="15">
      <sharedItems containsSemiMixedTypes="0" containsDate="1" containsString="0">
        <d v="2026-07-01T00:00:00Z"/>
        <d v="2026-07-02T00:00:00Z"/>
        <d v="2026-07-03T00:00:00Z"/>
        <d v="2026-07-04T00:00:00Z"/>
        <d v="2026-07-05T00:00:00Z"/>
        <d v="2026-07-06T00:00:00Z"/>
        <d v="2026-07-07T00:00:00Z"/>
        <d v="2026-07-08T00:00:00Z"/>
        <d v="2026-07-09T00:00:00Z"/>
        <d v="2026-07-10T00:00:00Z"/>
        <d v="2026-07-11T00:00:00Z"/>
        <d v="2026-07-12T00:00:00Z"/>
        <d v="2026-07-13T00:00:00Z"/>
        <d v="2026-07-14T00:00:00Z"/>
        <d v="2026-07-15T00:00:00Z"/>
        <d v="2026-07-16T00:00:00Z"/>
        <d v="2026-07-17T00:00:00Z"/>
        <d v="2026-07-18T00:00:00Z"/>
        <d v="2026-07-19T00:00:00Z"/>
        <d v="2026-07-20T00:00:00Z"/>
        <d v="2026-07-21T00:00:00Z"/>
        <d v="2026-07-22T00:00:00Z"/>
        <d v="2026-07-23T00:00:00Z"/>
        <d v="2026-07-24T00:00:00Z"/>
        <d v="2026-07-25T00:00:00Z"/>
        <d v="2026-07-26T00:00:00Z"/>
        <d v="2026-07-27T00:00:00Z"/>
        <d v="2026-07-28T00:00:00Z"/>
        <d v="2026-07-29T00:00:00Z"/>
        <d v="2026-07-30T00:00:00Z"/>
        <d v="2026-07-31T00:00:00Z"/>
        <d v="2026-08-01T00:00:00Z"/>
        <d v="2026-08-02T00:00:00Z"/>
        <d v="2026-08-03T00:00:00Z"/>
        <d v="2026-08-04T00:00:00Z"/>
        <d v="2026-08-05T00:00:00Z"/>
        <d v="2026-08-06T00:00:00Z"/>
        <d v="2026-08-07T00:00:00Z"/>
        <d v="2026-08-08T00:00:00Z"/>
        <d v="2026-08-09T00:00:00Z"/>
        <d v="2026-08-10T00:00:00Z"/>
        <d v="2026-08-11T00:00:00Z"/>
        <d v="2026-08-12T00:00:00Z"/>
        <d v="2026-08-13T00:00:00Z"/>
        <d v="2026-08-14T00:00:00Z"/>
        <d v="2026-08-15T00:00:00Z"/>
        <d v="2026-08-16T00:00:00Z"/>
        <d v="2026-08-17T00:00:00Z"/>
        <d v="2026-08-18T00:00:00Z"/>
        <d v="2026-08-19T00:00:00Z"/>
      </sharedItems>
    </cacheField>
    <cacheField name="Client_City" numFmtId="0">
      <sharedItems>
        <s v="Nawabshah"/>
        <s v="Karachi"/>
        <s v="Islamabad"/>
        <s v="Lahore"/>
        <s v="Multan"/>
        <s v="Hydrabad"/>
        <s v="Pindi"/>
        <s v="Sukkur"/>
        <s v="Moro"/>
        <s v="Dadu"/>
        <s v="Faisalabad"/>
        <s v="Quetta"/>
        <s v="Peshawar"/>
        <s v="Sialkot"/>
        <s v="Gujranwala"/>
        <s v="Larkana"/>
        <s v="Mirpur"/>
        <s v="Thatta"/>
        <s v="Badeen"/>
        <s v="Khairpur"/>
        <s v="Sargoda"/>
        <s v="Bahawalpur"/>
        <s v="Abbottabad"/>
        <s v="Gawadar"/>
        <s v="Sahiwal"/>
        <s v="Jhelum"/>
        <s v="Gujrat"/>
        <s v="Sheikhupura"/>
        <s v="Oara"/>
        <s v="Kasur"/>
        <s v="Chiniot"/>
        <s v="Kamoke"/>
        <s v="Marden"/>
        <s v="Kohat"/>
        <s v="Daira-ismail khan"/>
        <s v="Gilgit"/>
        <s v="Sakardu"/>
        <s v="Muzaffarabad"/>
        <s v="Shahdadkot"/>
        <s v="Kandhkot"/>
        <s v="Kamber"/>
        <s v="Sehwan"/>
        <s v="Tando-adam"/>
        <s v="Sanghar"/>
        <s v="Umerkot"/>
        <s v="Matiari"/>
        <s v="Attock"/>
        <s v="Murree"/>
        <s v="Vehari"/>
        <s v="Taxila"/>
      </sharedItems>
    </cacheField>
    <cacheField name="Lead_Sources" numFmtId="0">
      <sharedItems>
        <s v="Referral"/>
        <s v="Google Ads"/>
        <s v="Email"/>
        <s v="Instagram"/>
        <s v="Facebook"/>
        <s v="Cold Call"/>
        <s v="LinkedIn"/>
        <s v="Google Search"/>
        <s v="Tech Event"/>
      </sharedItems>
    </cacheField>
    <cacheField name="Payment_Status" numFmtId="0">
      <sharedItems>
        <s v="un-paid"/>
      </sharedItems>
    </cacheField>
    <cacheField name="Client_Rating" numFmtId="0">
      <sharedItems containsSemiMixedTypes="0" containsString="0" containsNumber="1" containsInteger="1">
        <n v="5.0"/>
      </sharedItems>
    </cacheField>
    <cacheField name="Total_Sum" numFmtId="164">
      <sharedItems containsString="0" containsBlank="1" containsNumber="1" containsInteger="1">
        <n v="412200.0"/>
        <m/>
      </sharedItems>
    </cacheField>
    <cacheField name="Average" numFmtId="164">
      <sharedItems containsString="0" containsBlank="1" containsNumber="1" containsInteger="1">
        <n v="8244.0"/>
        <m/>
      </sharedItems>
    </cacheField>
    <cacheField name="MAX" numFmtId="164">
      <sharedItems containsString="0" containsBlank="1" containsNumber="1" containsInteger="1">
        <n v="45000.0"/>
        <m/>
      </sharedItems>
    </cacheField>
    <cacheField name="Min" numFmtId="164">
      <sharedItems containsString="0" containsBlank="1" containsNumber="1" containsInteger="1">
        <n v="900.0"/>
        <m/>
      </sharedItems>
    </cacheField>
    <cacheField name="Count" numFmtId="0">
      <sharedItems containsString="0" containsBlank="1" containsNumber="1" containsInteger="1">
        <n v="50.0"/>
        <m/>
      </sharedItems>
    </cacheField>
    <cacheField name="highest/lowest budget" numFmtId="0">
      <sharedItems containsBlank="1">
        <s v="Low Budget"/>
        <m/>
      </sharedItems>
    </cacheField>
    <cacheField name="Vlookuo/Xlookup" numFmtId="0">
      <sharedItems containsBlank="1">
        <s v="M.Ali"/>
        <m/>
      </sharedItems>
    </cacheField>
    <cacheField name="Count A" numFmtId="0">
      <sharedItems containsString="0" containsBlank="1" containsNumber="1" containsInteger="1">
        <n v="50.0"/>
        <m/>
      </sharedItems>
    </cacheField>
    <cacheField name="AverageIF" numFmtId="0">
      <sharedItems containsString="0" containsBlank="1" containsNumber="1">
        <n v="11861.538461538461"/>
        <m/>
      </sharedItems>
    </cacheField>
    <cacheField name="SUMIF" numFmtId="0">
      <sharedItems containsString="0" containsBlank="1" containsNumber="1" containsInteger="1">
        <n v="154200.0"/>
        <m/>
      </sharedItems>
    </cacheField>
    <cacheField name="start_date2" databaseField="0">
      <fieldGroup base="6">
        <rangePr autoStart="0" autoEnd="0" groupBy="months" startDate="2026-06-03T00:00:00Z" endDate="2026-07-23T00:00:00Z"/>
        <groupItems>
          <s v="&lt;06/03/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7/23/26"/>
        </groupItems>
      </fieldGroup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Sheet2" cacheId="0" dataCaption="" compact="0" compactData="0">
  <location ref="A3:B53" firstHeaderRow="0" firstDataRow="1" firstDataCol="0"/>
  <pivotFields>
    <pivotField name="Clien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lien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lient_Services" axis="axisRow" compact="0" outline="0" multipleItemSelectionAllowed="1" showAll="0" sortType="ascending">
      <items>
        <item x="1"/>
        <item x="26"/>
        <item x="41"/>
        <item x="4"/>
        <item x="29"/>
        <item x="46"/>
        <item x="40"/>
        <item x="44"/>
        <item x="16"/>
        <item x="3"/>
        <item x="20"/>
        <item x="30"/>
        <item x="17"/>
        <item x="28"/>
        <item x="2"/>
        <item x="31"/>
        <item x="0"/>
        <item x="37"/>
        <item x="19"/>
        <item x="39"/>
        <item x="9"/>
        <item x="36"/>
        <item x="23"/>
        <item x="8"/>
        <item x="43"/>
        <item x="11"/>
        <item x="45"/>
        <item x="13"/>
        <item x="15"/>
        <item x="42"/>
        <item x="27"/>
        <item x="6"/>
        <item x="33"/>
        <item x="12"/>
        <item x="32"/>
        <item x="47"/>
        <item x="14"/>
        <item x="38"/>
        <item x="35"/>
        <item x="34"/>
        <item x="21"/>
        <item x="5"/>
        <item x="24"/>
        <item x="10"/>
        <item x="25"/>
        <item x="22"/>
        <item x="7"/>
        <item x="18"/>
        <item x="48"/>
        <item t="default"/>
      </items>
    </pivotField>
    <pivotField name="Data Analysi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Project_Budget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Project_Status" compact="0" outline="0" multipleItemSelectionAllowed="1" showAll="0">
      <items>
        <item x="0"/>
        <item t="default"/>
      </items>
    </pivotField>
    <pivotField name="Start_Date" compact="0" numFmtId="1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End_Date" compact="0" numFmtId="1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lient_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Lead_Sourc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Payment_Status" compact="0" outline="0" multipleItemSelectionAllowed="1" showAll="0">
      <items>
        <item x="0"/>
        <item t="default"/>
      </items>
    </pivotField>
    <pivotField name="Client_Rating" compact="0" outline="0" multipleItemSelectionAllowed="1" showAll="0">
      <items>
        <item x="0"/>
        <item t="default"/>
      </items>
    </pivotField>
    <pivotField name="Total_Sum" compact="0" numFmtId="164" outline="0" multipleItemSelectionAllowed="1" showAll="0">
      <items>
        <item x="0"/>
        <item x="1"/>
        <item t="default"/>
      </items>
    </pivotField>
    <pivotField name="Average" compact="0" numFmtId="164" outline="0" multipleItemSelectionAllowed="1" showAll="0">
      <items>
        <item x="0"/>
        <item x="1"/>
        <item t="default"/>
      </items>
    </pivotField>
    <pivotField name="MAX" compact="0" numFmtId="164" outline="0" multipleItemSelectionAllowed="1" showAll="0">
      <items>
        <item x="0"/>
        <item x="1"/>
        <item t="default"/>
      </items>
    </pivotField>
    <pivotField name="Min" compact="0" numFmtId="164" outline="0" multipleItemSelectionAllowed="1" showAll="0">
      <items>
        <item x="0"/>
        <item x="1"/>
        <item t="default"/>
      </items>
    </pivotField>
    <pivotField name="Count" compact="0" outline="0" multipleItemSelectionAllowed="1" showAll="0">
      <items>
        <item x="0"/>
        <item x="1"/>
        <item t="default"/>
      </items>
    </pivotField>
    <pivotField name="highest/lowest budget" compact="0" outline="0" multipleItemSelectionAllowed="1" showAll="0">
      <items>
        <item x="0"/>
        <item x="1"/>
        <item t="default"/>
      </items>
    </pivotField>
    <pivotField name="Vlookuo/Xlookup" compact="0" outline="0" multipleItemSelectionAllowed="1" showAll="0">
      <items>
        <item x="0"/>
        <item x="1"/>
        <item t="default"/>
      </items>
    </pivotField>
    <pivotField name="Count A" compact="0" outline="0" multipleItemSelectionAllowed="1" showAll="0">
      <items>
        <item x="0"/>
        <item x="1"/>
        <item t="default"/>
      </items>
    </pivotField>
    <pivotField name="AverageIF" compact="0" outline="0" multipleItemSelectionAllowed="1" showAll="0">
      <items>
        <item x="0"/>
        <item x="1"/>
        <item t="default"/>
      </items>
    </pivotField>
    <pivotField name="SUMIF" compact="0" outline="0" multipleItemSelectionAllowed="1" showAll="0">
      <items>
        <item x="0"/>
        <item x="1"/>
        <item t="default"/>
      </items>
    </pivotField>
  </pivotFields>
  <rowFields>
    <field x="2"/>
  </rowFields>
  <dataFields>
    <dataField name="Revenue by Service" fld="4" baseField="0"/>
  </dataFields>
</pivotTableDefinition>
</file>

<file path=xl/pivotTables/pivotTable2.xml><?xml version="1.0" encoding="utf-8"?>
<pivotTableDefinition xmlns="http://schemas.openxmlformats.org/spreadsheetml/2006/main" name="Sheet3" cacheId="0" dataCaption="" compact="0" compactData="0">
  <location ref="A3:B5" firstHeaderRow="0" firstDataRow="1" firstDataCol="0"/>
  <pivotFields>
    <pivotField name="Clien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lien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lient_Servic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Data Analysi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Project_Budge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Project_Status" axis="axisRow" dataField="1" compact="0" outline="0" multipleItemSelectionAllowed="1" showAll="0" sortType="ascending">
      <items>
        <item x="0"/>
        <item t="default"/>
      </items>
    </pivotField>
    <pivotField name="Start_Date" compact="0" numFmtId="1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End_Date" compact="0" numFmtId="1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lient_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Lead_Sourc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Payment_Status" compact="0" outline="0" multipleItemSelectionAllowed="1" showAll="0">
      <items>
        <item x="0"/>
        <item t="default"/>
      </items>
    </pivotField>
    <pivotField name="Client_Rating" compact="0" outline="0" multipleItemSelectionAllowed="1" showAll="0">
      <items>
        <item x="0"/>
        <item t="default"/>
      </items>
    </pivotField>
    <pivotField name="Total_Sum" compact="0" numFmtId="164" outline="0" multipleItemSelectionAllowed="1" showAll="0">
      <items>
        <item x="0"/>
        <item x="1"/>
        <item t="default"/>
      </items>
    </pivotField>
    <pivotField name="Average" compact="0" numFmtId="164" outline="0" multipleItemSelectionAllowed="1" showAll="0">
      <items>
        <item x="0"/>
        <item x="1"/>
        <item t="default"/>
      </items>
    </pivotField>
    <pivotField name="MAX" compact="0" numFmtId="164" outline="0" multipleItemSelectionAllowed="1" showAll="0">
      <items>
        <item x="0"/>
        <item x="1"/>
        <item t="default"/>
      </items>
    </pivotField>
    <pivotField name="Min" compact="0" numFmtId="164" outline="0" multipleItemSelectionAllowed="1" showAll="0">
      <items>
        <item x="0"/>
        <item x="1"/>
        <item t="default"/>
      </items>
    </pivotField>
    <pivotField name="Count" compact="0" outline="0" multipleItemSelectionAllowed="1" showAll="0">
      <items>
        <item x="0"/>
        <item x="1"/>
        <item t="default"/>
      </items>
    </pivotField>
    <pivotField name="highest/lowest budget" compact="0" outline="0" multipleItemSelectionAllowed="1" showAll="0">
      <items>
        <item x="0"/>
        <item x="1"/>
        <item t="default"/>
      </items>
    </pivotField>
    <pivotField name="Vlookuo/Xlookup" compact="0" outline="0" multipleItemSelectionAllowed="1" showAll="0">
      <items>
        <item x="0"/>
        <item x="1"/>
        <item t="default"/>
      </items>
    </pivotField>
    <pivotField name="Count A" compact="0" outline="0" multipleItemSelectionAllowed="1" showAll="0">
      <items>
        <item x="0"/>
        <item x="1"/>
        <item t="default"/>
      </items>
    </pivotField>
    <pivotField name="AverageIF" compact="0" outline="0" multipleItemSelectionAllowed="1" showAll="0">
      <items>
        <item x="0"/>
        <item x="1"/>
        <item t="default"/>
      </items>
    </pivotField>
    <pivotField name="SUMIF" compact="0" outline="0" multipleItemSelectionAllowed="1" showAll="0">
      <items>
        <item x="0"/>
        <item x="1"/>
        <item t="default"/>
      </items>
    </pivotField>
  </pivotFields>
  <rowFields>
    <field x="5"/>
  </rowFields>
  <dataFields>
    <dataField name="Project Status Distribution" fld="5" subtotal="count" baseField="0"/>
  </dataFields>
</pivotTableDefinition>
</file>

<file path=xl/pivotTables/pivotTable3.xml><?xml version="1.0" encoding="utf-8"?>
<pivotTableDefinition xmlns="http://schemas.openxmlformats.org/spreadsheetml/2006/main" name="Sheet4" cacheId="0" dataCaption="" compact="0" compactData="0">
  <location ref="A3:B54" firstHeaderRow="0" firstDataRow="1" firstDataCol="0"/>
  <pivotFields>
    <pivotField name="Client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lien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lient_Servic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Data Analysi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Project_Budge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Project_Status" compact="0" outline="0" multipleItemSelectionAllowed="1" showAll="0">
      <items>
        <item x="0"/>
        <item t="default"/>
      </items>
    </pivotField>
    <pivotField name="Start_Date" compact="0" numFmtId="1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End_Date" compact="0" numFmtId="1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lient_City" axis="axisRow" compact="0" outline="0" multipleItemSelectionAllowed="1" showAll="0" sortType="ascending">
      <items>
        <item x="22"/>
        <item x="46"/>
        <item x="18"/>
        <item x="21"/>
        <item x="30"/>
        <item x="9"/>
        <item x="34"/>
        <item x="10"/>
        <item x="23"/>
        <item x="35"/>
        <item x="14"/>
        <item x="26"/>
        <item x="5"/>
        <item x="2"/>
        <item x="25"/>
        <item x="40"/>
        <item x="31"/>
        <item x="39"/>
        <item x="1"/>
        <item x="29"/>
        <item x="19"/>
        <item x="33"/>
        <item x="3"/>
        <item x="15"/>
        <item x="32"/>
        <item x="45"/>
        <item x="16"/>
        <item x="8"/>
        <item x="4"/>
        <item x="47"/>
        <item x="37"/>
        <item x="0"/>
        <item x="28"/>
        <item x="12"/>
        <item x="6"/>
        <item x="11"/>
        <item x="24"/>
        <item x="36"/>
        <item x="43"/>
        <item x="20"/>
        <item x="41"/>
        <item x="38"/>
        <item x="27"/>
        <item x="13"/>
        <item x="7"/>
        <item x="42"/>
        <item x="49"/>
        <item x="17"/>
        <item x="44"/>
        <item x="48"/>
        <item t="default"/>
      </items>
    </pivotField>
    <pivotField name="Lead_Sourc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Payment_Status" compact="0" outline="0" multipleItemSelectionAllowed="1" showAll="0">
      <items>
        <item x="0"/>
        <item t="default"/>
      </items>
    </pivotField>
    <pivotField name="Client_Rating" compact="0" outline="0" multipleItemSelectionAllowed="1" showAll="0">
      <items>
        <item x="0"/>
        <item t="default"/>
      </items>
    </pivotField>
    <pivotField name="Total_Sum" compact="0" numFmtId="164" outline="0" multipleItemSelectionAllowed="1" showAll="0">
      <items>
        <item x="0"/>
        <item x="1"/>
        <item t="default"/>
      </items>
    </pivotField>
    <pivotField name="Average" compact="0" numFmtId="164" outline="0" multipleItemSelectionAllowed="1" showAll="0">
      <items>
        <item x="0"/>
        <item x="1"/>
        <item t="default"/>
      </items>
    </pivotField>
    <pivotField name="MAX" compact="0" numFmtId="164" outline="0" multipleItemSelectionAllowed="1" showAll="0">
      <items>
        <item x="0"/>
        <item x="1"/>
        <item t="default"/>
      </items>
    </pivotField>
    <pivotField name="Min" compact="0" numFmtId="164" outline="0" multipleItemSelectionAllowed="1" showAll="0">
      <items>
        <item x="0"/>
        <item x="1"/>
        <item t="default"/>
      </items>
    </pivotField>
    <pivotField name="Count" compact="0" outline="0" multipleItemSelectionAllowed="1" showAll="0">
      <items>
        <item x="0"/>
        <item x="1"/>
        <item t="default"/>
      </items>
    </pivotField>
    <pivotField name="highest/lowest budget" compact="0" outline="0" multipleItemSelectionAllowed="1" showAll="0">
      <items>
        <item x="0"/>
        <item x="1"/>
        <item t="default"/>
      </items>
    </pivotField>
    <pivotField name="Vlookuo/Xlookup" compact="0" outline="0" multipleItemSelectionAllowed="1" showAll="0">
      <items>
        <item x="0"/>
        <item x="1"/>
        <item t="default"/>
      </items>
    </pivotField>
    <pivotField name="Count A" compact="0" outline="0" multipleItemSelectionAllowed="1" showAll="0">
      <items>
        <item x="0"/>
        <item x="1"/>
        <item t="default"/>
      </items>
    </pivotField>
    <pivotField name="AverageIF" compact="0" outline="0" multipleItemSelectionAllowed="1" showAll="0">
      <items>
        <item x="0"/>
        <item x="1"/>
        <item t="default"/>
      </items>
    </pivotField>
    <pivotField name="SUMIF" compact="0" outline="0" multipleItemSelectionAllowed="1" showAll="0">
      <items>
        <item x="0"/>
        <item x="1"/>
        <item t="default"/>
      </items>
    </pivotField>
  </pivotFields>
  <rowFields>
    <field x="8"/>
  </rowFields>
  <dataFields>
    <dataField name="Clients by City" fld="0" subtotal="count" baseField="0"/>
  </dataFields>
</pivotTableDefinition>
</file>

<file path=xl/pivotTables/pivotTable4.xml><?xml version="1.0" encoding="utf-8"?>
<pivotTableDefinition xmlns="http://schemas.openxmlformats.org/spreadsheetml/2006/main" name="Sheet5" cacheId="0" dataCaption="" compact="0" compactData="0">
  <location ref="A3:B5" firstHeaderRow="0" firstDataRow="1" firstDataCol="0"/>
  <pivotFields>
    <pivotField name="Clien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lien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lient_Servic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Data Analysi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Project_Budge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Project_Status" compact="0" outline="0" multipleItemSelectionAllowed="1" showAll="0">
      <items>
        <item x="0"/>
        <item t="default"/>
      </items>
    </pivotField>
    <pivotField name="Start_Date" compact="0" numFmtId="1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End_Date" compact="0" numFmtId="1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lient_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Lead_Sourc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Payment_Status" axis="axisRow" dataField="1" compact="0" outline="0" multipleItemSelectionAllowed="1" showAll="0" sortType="ascending">
      <items>
        <item x="0"/>
        <item t="default"/>
      </items>
    </pivotField>
    <pivotField name="Client_Rating" compact="0" outline="0" multipleItemSelectionAllowed="1" showAll="0">
      <items>
        <item x="0"/>
        <item t="default"/>
      </items>
    </pivotField>
    <pivotField name="Total_Sum" compact="0" numFmtId="164" outline="0" multipleItemSelectionAllowed="1" showAll="0">
      <items>
        <item x="0"/>
        <item x="1"/>
        <item t="default"/>
      </items>
    </pivotField>
    <pivotField name="Average" compact="0" numFmtId="164" outline="0" multipleItemSelectionAllowed="1" showAll="0">
      <items>
        <item x="0"/>
        <item x="1"/>
        <item t="default"/>
      </items>
    </pivotField>
    <pivotField name="MAX" compact="0" numFmtId="164" outline="0" multipleItemSelectionAllowed="1" showAll="0">
      <items>
        <item x="0"/>
        <item x="1"/>
        <item t="default"/>
      </items>
    </pivotField>
    <pivotField name="Min" compact="0" numFmtId="164" outline="0" multipleItemSelectionAllowed="1" showAll="0">
      <items>
        <item x="0"/>
        <item x="1"/>
        <item t="default"/>
      </items>
    </pivotField>
    <pivotField name="Count" compact="0" outline="0" multipleItemSelectionAllowed="1" showAll="0">
      <items>
        <item x="0"/>
        <item x="1"/>
        <item t="default"/>
      </items>
    </pivotField>
    <pivotField name="highest/lowest budget" compact="0" outline="0" multipleItemSelectionAllowed="1" showAll="0">
      <items>
        <item x="0"/>
        <item x="1"/>
        <item t="default"/>
      </items>
    </pivotField>
    <pivotField name="Vlookuo/Xlookup" compact="0" outline="0" multipleItemSelectionAllowed="1" showAll="0">
      <items>
        <item x="0"/>
        <item x="1"/>
        <item t="default"/>
      </items>
    </pivotField>
    <pivotField name="Count A" compact="0" outline="0" multipleItemSelectionAllowed="1" showAll="0">
      <items>
        <item x="0"/>
        <item x="1"/>
        <item t="default"/>
      </items>
    </pivotField>
    <pivotField name="AverageIF" compact="0" outline="0" multipleItemSelectionAllowed="1" showAll="0">
      <items>
        <item x="0"/>
        <item x="1"/>
        <item t="default"/>
      </items>
    </pivotField>
    <pivotField name="SUMIF" compact="0" outline="0" multipleItemSelectionAllowed="1" showAll="0">
      <items>
        <item x="0"/>
        <item x="1"/>
        <item t="default"/>
      </items>
    </pivotField>
  </pivotFields>
  <rowFields>
    <field x="10"/>
  </rowFields>
  <dataFields>
    <dataField name="Payment Status" fld="10" subtotal="count" baseField="0"/>
  </dataFields>
</pivotTableDefinition>
</file>

<file path=xl/pivotTables/pivotTable5.xml><?xml version="1.0" encoding="utf-8"?>
<pivotTableDefinition xmlns="http://schemas.openxmlformats.org/spreadsheetml/2006/main" name="Sheet6" cacheId="0" dataCaption="" compact="0" compactData="0">
  <location ref="A3:C53" firstHeaderRow="0" firstDataRow="2" firstDataCol="0"/>
  <pivotFields>
    <pivotField name="Clien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lien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lient_Services" axis="axisRow" compact="0" outline="0" multipleItemSelectionAllowed="1" showAll="0" sortType="ascending">
      <items>
        <item x="1"/>
        <item x="26"/>
        <item x="41"/>
        <item x="4"/>
        <item x="29"/>
        <item x="46"/>
        <item x="40"/>
        <item x="44"/>
        <item x="16"/>
        <item x="3"/>
        <item x="20"/>
        <item x="30"/>
        <item x="17"/>
        <item x="28"/>
        <item x="2"/>
        <item x="31"/>
        <item x="0"/>
        <item x="37"/>
        <item x="19"/>
        <item x="39"/>
        <item x="9"/>
        <item x="36"/>
        <item x="23"/>
        <item x="8"/>
        <item x="43"/>
        <item x="11"/>
        <item x="45"/>
        <item x="13"/>
        <item x="15"/>
        <item x="42"/>
        <item x="27"/>
        <item x="6"/>
        <item x="33"/>
        <item x="12"/>
        <item x="32"/>
        <item x="47"/>
        <item x="14"/>
        <item x="38"/>
        <item x="35"/>
        <item x="34"/>
        <item x="21"/>
        <item x="5"/>
        <item x="24"/>
        <item x="10"/>
        <item x="25"/>
        <item x="22"/>
        <item x="7"/>
        <item x="18"/>
        <item x="48"/>
        <item t="default"/>
      </items>
    </pivotField>
    <pivotField name="Data Analysi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Project_Budget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Project_Status" compact="0" outline="0" multipleItemSelectionAllowed="1" showAll="0">
      <items>
        <item x="0"/>
        <item t="default"/>
      </items>
    </pivotField>
    <pivotField name="Start_Date" compact="0" numFmtId="1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End_Date" compact="0" numFmtId="1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lient_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Lead_Sourc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Payment_Status" compact="0" outline="0" multipleItemSelectionAllowed="1" showAll="0">
      <items>
        <item x="0"/>
        <item t="default"/>
      </items>
    </pivotField>
    <pivotField name="Client_Rating" dataField="1" compact="0" outline="0" multipleItemSelectionAllowed="1" showAll="0">
      <items>
        <item x="0"/>
        <item t="default"/>
      </items>
    </pivotField>
    <pivotField name="Total_Sum" compact="0" numFmtId="164" outline="0" multipleItemSelectionAllowed="1" showAll="0">
      <items>
        <item x="0"/>
        <item x="1"/>
        <item t="default"/>
      </items>
    </pivotField>
    <pivotField name="Average" compact="0" numFmtId="164" outline="0" multipleItemSelectionAllowed="1" showAll="0">
      <items>
        <item x="0"/>
        <item x="1"/>
        <item t="default"/>
      </items>
    </pivotField>
    <pivotField name="MAX" compact="0" numFmtId="164" outline="0" multipleItemSelectionAllowed="1" showAll="0">
      <items>
        <item x="0"/>
        <item x="1"/>
        <item t="default"/>
      </items>
    </pivotField>
    <pivotField name="Min" compact="0" numFmtId="164" outline="0" multipleItemSelectionAllowed="1" showAll="0">
      <items>
        <item x="0"/>
        <item x="1"/>
        <item t="default"/>
      </items>
    </pivotField>
    <pivotField name="Count" compact="0" outline="0" multipleItemSelectionAllowed="1" showAll="0">
      <items>
        <item x="0"/>
        <item x="1"/>
        <item t="default"/>
      </items>
    </pivotField>
    <pivotField name="highest/lowest budget" compact="0" outline="0" multipleItemSelectionAllowed="1" showAll="0">
      <items>
        <item x="0"/>
        <item x="1"/>
        <item t="default"/>
      </items>
    </pivotField>
    <pivotField name="Vlookuo/Xlookup" compact="0" outline="0" multipleItemSelectionAllowed="1" showAll="0">
      <items>
        <item x="0"/>
        <item x="1"/>
        <item t="default"/>
      </items>
    </pivotField>
    <pivotField name="Count A" compact="0" outline="0" multipleItemSelectionAllowed="1" showAll="0">
      <items>
        <item x="0"/>
        <item x="1"/>
        <item t="default"/>
      </items>
    </pivotField>
    <pivotField name="AverageIF" compact="0" outline="0" multipleItemSelectionAllowed="1" showAll="0">
      <items>
        <item x="0"/>
        <item x="1"/>
        <item t="default"/>
      </items>
    </pivotField>
    <pivotField name="SUMIF" compact="0" outline="0" multipleItemSelectionAllowed="1" showAll="0">
      <items>
        <item x="0"/>
        <item x="1"/>
        <item t="default"/>
      </items>
    </pivotField>
  </pivotFields>
  <rowFields>
    <field x="2"/>
  </rowFields>
  <colFields>
    <field x="-2"/>
  </colFields>
  <dataFields>
    <dataField name="Sum of Project_Budget" fld="4" baseField="0"/>
    <dataField name="Average of Client_Rating" fld="11" subtotal="average" baseField="0"/>
  </dataFields>
</pivotTableDefinition>
</file>

<file path=xl/pivotTables/pivotTable6.xml><?xml version="1.0" encoding="utf-8"?>
<pivotTableDefinition xmlns="http://schemas.openxmlformats.org/spreadsheetml/2006/main" name="Sheet7" cacheId="1" dataCaption="" compact="0" compactData="0">
  <location ref="A3:C54" firstHeaderRow="0" firstDataRow="2" firstDataCol="0"/>
  <pivotFields>
    <pivotField name="Clien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lien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lient_Servic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Data Analysi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Project_Budge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Project_Status" dataField="1" compact="0" outline="0" multipleItemSelectionAllowed="1" showAll="0">
      <items>
        <item x="0"/>
        <item t="default"/>
      </items>
    </pivotField>
    <pivotField name="Start_Date" axis="axisRow" compact="0" numFmtId="15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ame="End_Date" compact="0" numFmtId="1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lient_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Lead_Sourc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Payment_Status" compact="0" outline="0" multipleItemSelectionAllowed="1" showAll="0">
      <items>
        <item x="0"/>
        <item t="default"/>
      </items>
    </pivotField>
    <pivotField name="Client_Rating" compact="0" outline="0" multipleItemSelectionAllowed="1" showAll="0">
      <items>
        <item x="0"/>
        <item t="default"/>
      </items>
    </pivotField>
    <pivotField name="Total_Sum" compact="0" numFmtId="164" outline="0" multipleItemSelectionAllowed="1" showAll="0">
      <items>
        <item x="0"/>
        <item x="1"/>
        <item t="default"/>
      </items>
    </pivotField>
    <pivotField name="Average" compact="0" numFmtId="164" outline="0" multipleItemSelectionAllowed="1" showAll="0">
      <items>
        <item x="0"/>
        <item x="1"/>
        <item t="default"/>
      </items>
    </pivotField>
    <pivotField name="MAX" compact="0" numFmtId="164" outline="0" multipleItemSelectionAllowed="1" showAll="0">
      <items>
        <item x="0"/>
        <item x="1"/>
        <item t="default"/>
      </items>
    </pivotField>
    <pivotField name="Min" compact="0" numFmtId="164" outline="0" multipleItemSelectionAllowed="1" showAll="0">
      <items>
        <item x="0"/>
        <item x="1"/>
        <item t="default"/>
      </items>
    </pivotField>
    <pivotField name="Count" compact="0" outline="0" multipleItemSelectionAllowed="1" showAll="0">
      <items>
        <item x="0"/>
        <item x="1"/>
        <item t="default"/>
      </items>
    </pivotField>
    <pivotField name="highest/lowest budget" compact="0" outline="0" multipleItemSelectionAllowed="1" showAll="0">
      <items>
        <item x="0"/>
        <item x="1"/>
        <item t="default"/>
      </items>
    </pivotField>
    <pivotField name="Vlookuo/Xlookup" compact="0" outline="0" multipleItemSelectionAllowed="1" showAll="0">
      <items>
        <item x="0"/>
        <item x="1"/>
        <item t="default"/>
      </items>
    </pivotField>
    <pivotField name="Count A" compact="0" outline="0" multipleItemSelectionAllowed="1" showAll="0">
      <items>
        <item x="0"/>
        <item x="1"/>
        <item t="default"/>
      </items>
    </pivotField>
    <pivotField name="AverageIF" compact="0" outline="0" multipleItemSelectionAllowed="1" showAll="0">
      <items>
        <item x="0"/>
        <item x="1"/>
        <item t="default"/>
      </items>
    </pivotField>
    <pivotField name="SUMIF" compact="0" outline="0" multipleItemSelectionAllowed="1" showAll="0">
      <items>
        <item x="0"/>
        <item x="1"/>
        <item t="default"/>
      </items>
    </pivotField>
    <pivotField name="start_date2" axis="axisRow" compact="0" outline="0" multipleItemSelectionAllowed="1" showAll="0" sortType="ascending" defaultSubtota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>
    <field x="22"/>
    <field x="6"/>
  </rowFields>
  <dataFields>
    <dataField name="Projects by Date" fld="5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71"/>
    <col customWidth="1" min="2" max="2" width="18.57"/>
    <col customWidth="1" min="3" max="26" width="8.71"/>
  </cols>
  <sheetData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>
      <c r="A54" s="3"/>
      <c r="B54" s="1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2" width="24.57"/>
    <col customWidth="1" min="3" max="26" width="8.71"/>
  </cols>
  <sheetData>
    <row r="3"/>
    <row r="4"/>
    <row r="5"/>
    <row r="6">
      <c r="A6" s="3"/>
      <c r="B6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2" width="13.71"/>
    <col customWidth="1" min="3" max="26" width="8.71"/>
  </cols>
  <sheetData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>
      <c r="A55" s="3"/>
      <c r="B55" s="1"/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2" width="14.86"/>
    <col customWidth="1" min="3" max="26" width="8.71"/>
  </cols>
  <sheetData>
    <row r="3"/>
    <row r="4"/>
    <row r="5"/>
    <row r="6">
      <c r="A6" s="3"/>
      <c r="B6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71"/>
    <col customWidth="1" min="2" max="2" width="21.57"/>
    <col customWidth="1" min="3" max="3" width="23.29"/>
    <col customWidth="1" min="4" max="26" width="8.71"/>
  </cols>
  <sheetData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>
      <c r="A54" s="3"/>
      <c r="B54" s="1"/>
      <c r="C54" s="1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2" width="15.43"/>
    <col customWidth="1" min="3" max="26" width="8.71"/>
  </cols>
  <sheetData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12.43"/>
    <col customWidth="1" min="3" max="3" width="30.29"/>
    <col customWidth="1" min="4" max="4" width="28.43"/>
    <col customWidth="1" min="5" max="5" width="17.43"/>
    <col customWidth="1" min="6" max="6" width="16.71"/>
    <col customWidth="1" min="7" max="7" width="14.0"/>
    <col customWidth="1" min="8" max="8" width="13.0"/>
    <col customWidth="1" min="9" max="9" width="12.43"/>
    <col customWidth="1" min="10" max="10" width="13.14"/>
    <col customWidth="1" min="11" max="11" width="15.71"/>
    <col customWidth="1" min="12" max="12" width="12.43"/>
    <col customWidth="1" min="13" max="13" width="10.43"/>
    <col customWidth="1" min="14" max="17" width="9.0"/>
    <col customWidth="1" min="18" max="18" width="21.29"/>
    <col customWidth="1" min="19" max="19" width="17.29"/>
    <col customWidth="1" min="20" max="20" width="9.0"/>
    <col customWidth="1" min="21" max="21" width="12.29"/>
    <col customWidth="1" min="22" max="26" width="9.0"/>
  </cols>
  <sheetData>
    <row r="1">
      <c r="A1" s="8" t="s">
        <v>167</v>
      </c>
      <c r="B1" s="8" t="s">
        <v>168</v>
      </c>
      <c r="C1" s="8" t="s">
        <v>0</v>
      </c>
      <c r="D1" s="8" t="str">
        <f>PROPER(C2)</f>
        <v>Data Analysis</v>
      </c>
      <c r="E1" s="9" t="s">
        <v>169</v>
      </c>
      <c r="F1" s="8" t="s">
        <v>52</v>
      </c>
      <c r="G1" s="8" t="s">
        <v>170</v>
      </c>
      <c r="H1" s="8" t="s">
        <v>171</v>
      </c>
      <c r="I1" s="8" t="s">
        <v>55</v>
      </c>
      <c r="J1" s="8" t="s">
        <v>172</v>
      </c>
      <c r="K1" s="8" t="s">
        <v>107</v>
      </c>
      <c r="L1" s="8" t="s">
        <v>173</v>
      </c>
      <c r="M1" s="8" t="s">
        <v>174</v>
      </c>
      <c r="N1" s="8" t="s">
        <v>175</v>
      </c>
      <c r="O1" s="8" t="s">
        <v>176</v>
      </c>
      <c r="P1" s="8" t="s">
        <v>177</v>
      </c>
      <c r="Q1" s="8" t="s">
        <v>178</v>
      </c>
      <c r="R1" s="8" t="s">
        <v>179</v>
      </c>
      <c r="S1" s="8" t="s">
        <v>180</v>
      </c>
      <c r="T1" s="8" t="s">
        <v>181</v>
      </c>
      <c r="U1" s="8" t="s">
        <v>182</v>
      </c>
      <c r="V1" s="8" t="s">
        <v>183</v>
      </c>
    </row>
    <row r="2">
      <c r="A2" s="2" t="s">
        <v>184</v>
      </c>
      <c r="B2" s="1" t="s">
        <v>185</v>
      </c>
      <c r="C2" s="1" t="s">
        <v>18</v>
      </c>
      <c r="D2" s="1" t="str">
        <f t="shared" ref="D2:D51" si="1">PROPER(C2)</f>
        <v>Data Analysis</v>
      </c>
      <c r="E2" s="4">
        <v>2500.0</v>
      </c>
      <c r="F2" s="1" t="s">
        <v>54</v>
      </c>
      <c r="G2" s="10">
        <v>46176.0</v>
      </c>
      <c r="H2" s="10">
        <v>46204.0</v>
      </c>
      <c r="I2" s="1" t="s">
        <v>88</v>
      </c>
      <c r="J2" s="1" t="s">
        <v>186</v>
      </c>
      <c r="K2" s="1" t="s">
        <v>109</v>
      </c>
      <c r="L2" s="1">
        <v>5.0</v>
      </c>
      <c r="M2" s="11">
        <f>SUM(E2:E52)</f>
        <v>412200</v>
      </c>
      <c r="N2" s="11">
        <f>AVERAGE(E2:E52)</f>
        <v>8244</v>
      </c>
      <c r="O2" s="11">
        <f>MAX(E2:E52)</f>
        <v>45000</v>
      </c>
      <c r="P2" s="11">
        <f>MIN(E2:E52)</f>
        <v>900</v>
      </c>
      <c r="Q2" s="2">
        <f>COUNT(E2:E52)</f>
        <v>50</v>
      </c>
      <c r="R2" s="2" t="s">
        <v>187</v>
      </c>
      <c r="S2" s="2" t="s">
        <v>185</v>
      </c>
      <c r="T2" s="2">
        <v>50.0</v>
      </c>
      <c r="U2" s="1">
        <f>AVERAGEIF(J2:J54,"Referral",E2:E54)</f>
        <v>11861.53846</v>
      </c>
      <c r="V2" s="1">
        <f>SUMIF(J2:J54,"Referral",E2:E54)</f>
        <v>154200</v>
      </c>
    </row>
    <row r="3">
      <c r="A3" s="2" t="s">
        <v>188</v>
      </c>
      <c r="B3" s="1" t="s">
        <v>189</v>
      </c>
      <c r="C3" s="1" t="s">
        <v>2</v>
      </c>
      <c r="D3" s="1" t="str">
        <f t="shared" si="1"/>
        <v>Ai Consultation</v>
      </c>
      <c r="E3" s="4">
        <v>4500.0</v>
      </c>
      <c r="F3" s="1" t="s">
        <v>54</v>
      </c>
      <c r="G3" s="10">
        <v>46177.0</v>
      </c>
      <c r="H3" s="10">
        <v>46205.0</v>
      </c>
      <c r="I3" s="1" t="s">
        <v>75</v>
      </c>
      <c r="J3" s="1" t="s">
        <v>190</v>
      </c>
      <c r="K3" s="1" t="s">
        <v>109</v>
      </c>
      <c r="L3" s="1">
        <v>5.0</v>
      </c>
    </row>
    <row r="4">
      <c r="A4" s="2" t="s">
        <v>191</v>
      </c>
      <c r="B4" s="1" t="s">
        <v>192</v>
      </c>
      <c r="C4" s="1" t="s">
        <v>16</v>
      </c>
      <c r="D4" s="1" t="str">
        <f t="shared" si="1"/>
        <v>Cyber Security</v>
      </c>
      <c r="E4" s="4">
        <v>8000.0</v>
      </c>
      <c r="F4" s="1" t="s">
        <v>54</v>
      </c>
      <c r="G4" s="10">
        <v>46178.0</v>
      </c>
      <c r="H4" s="10">
        <v>46206.0</v>
      </c>
      <c r="I4" s="1" t="s">
        <v>70</v>
      </c>
      <c r="J4" s="1" t="s">
        <v>193</v>
      </c>
      <c r="K4" s="1" t="s">
        <v>109</v>
      </c>
      <c r="L4" s="1">
        <v>5.0</v>
      </c>
    </row>
    <row r="5">
      <c r="A5" s="2" t="s">
        <v>194</v>
      </c>
      <c r="B5" s="1" t="s">
        <v>195</v>
      </c>
      <c r="C5" s="1" t="s">
        <v>11</v>
      </c>
      <c r="D5" s="1" t="str">
        <f t="shared" si="1"/>
        <v>Cloud Computing</v>
      </c>
      <c r="E5" s="4">
        <v>900.0</v>
      </c>
      <c r="F5" s="1" t="s">
        <v>54</v>
      </c>
      <c r="G5" s="10">
        <v>46179.0</v>
      </c>
      <c r="H5" s="10">
        <v>46207.0</v>
      </c>
      <c r="I5" s="1" t="s">
        <v>79</v>
      </c>
      <c r="J5" s="1" t="s">
        <v>196</v>
      </c>
      <c r="K5" s="1" t="s">
        <v>109</v>
      </c>
      <c r="L5" s="1">
        <v>5.0</v>
      </c>
    </row>
    <row r="6">
      <c r="A6" s="2" t="s">
        <v>197</v>
      </c>
      <c r="B6" s="1" t="s">
        <v>198</v>
      </c>
      <c r="C6" s="1" t="s">
        <v>5</v>
      </c>
      <c r="D6" s="1" t="str">
        <f t="shared" si="1"/>
        <v>App Development</v>
      </c>
      <c r="E6" s="4">
        <v>3200.0</v>
      </c>
      <c r="F6" s="1" t="s">
        <v>54</v>
      </c>
      <c r="G6" s="10">
        <v>46180.0</v>
      </c>
      <c r="H6" s="10">
        <v>46208.0</v>
      </c>
      <c r="I6" s="1" t="s">
        <v>85</v>
      </c>
      <c r="J6" s="1" t="s">
        <v>199</v>
      </c>
      <c r="K6" s="1" t="s">
        <v>109</v>
      </c>
      <c r="L6" s="1">
        <v>5.0</v>
      </c>
    </row>
    <row r="7">
      <c r="A7" s="2" t="s">
        <v>200</v>
      </c>
      <c r="B7" s="1" t="s">
        <v>201</v>
      </c>
      <c r="C7" s="1" t="s">
        <v>43</v>
      </c>
      <c r="D7" s="1" t="str">
        <f t="shared" si="1"/>
        <v>Seo Services</v>
      </c>
      <c r="E7" s="4">
        <v>6000.0</v>
      </c>
      <c r="F7" s="1" t="s">
        <v>54</v>
      </c>
      <c r="G7" s="10">
        <v>46181.0</v>
      </c>
      <c r="H7" s="10">
        <v>46209.0</v>
      </c>
      <c r="I7" s="1" t="s">
        <v>69</v>
      </c>
      <c r="J7" s="1" t="s">
        <v>202</v>
      </c>
      <c r="K7" s="1" t="s">
        <v>109</v>
      </c>
      <c r="L7" s="1">
        <v>5.0</v>
      </c>
    </row>
    <row r="8">
      <c r="A8" s="2" t="s">
        <v>203</v>
      </c>
      <c r="B8" s="1" t="s">
        <v>204</v>
      </c>
      <c r="C8" s="1" t="s">
        <v>33</v>
      </c>
      <c r="D8" s="1" t="str">
        <f t="shared" si="1"/>
        <v>It Support</v>
      </c>
      <c r="E8" s="4">
        <v>1500.0</v>
      </c>
      <c r="F8" s="1" t="s">
        <v>54</v>
      </c>
      <c r="G8" s="10">
        <v>46182.0</v>
      </c>
      <c r="H8" s="10">
        <v>46210.0</v>
      </c>
      <c r="I8" s="1" t="s">
        <v>91</v>
      </c>
      <c r="J8" s="1" t="s">
        <v>186</v>
      </c>
      <c r="K8" s="1" t="s">
        <v>109</v>
      </c>
      <c r="L8" s="1">
        <v>5.0</v>
      </c>
    </row>
    <row r="9">
      <c r="A9" s="2" t="s">
        <v>205</v>
      </c>
      <c r="B9" s="1" t="s">
        <v>206</v>
      </c>
      <c r="C9" s="1" t="s">
        <v>48</v>
      </c>
      <c r="D9" s="1" t="str">
        <f t="shared" si="1"/>
        <v>Ui/Ux Design</v>
      </c>
      <c r="E9" s="4">
        <v>11000.0</v>
      </c>
      <c r="F9" s="1" t="s">
        <v>54</v>
      </c>
      <c r="G9" s="10">
        <v>46183.0</v>
      </c>
      <c r="H9" s="10">
        <v>46211.0</v>
      </c>
      <c r="I9" s="1" t="s">
        <v>101</v>
      </c>
      <c r="J9" s="1" t="s">
        <v>207</v>
      </c>
      <c r="K9" s="1" t="s">
        <v>109</v>
      </c>
      <c r="L9" s="1">
        <v>5.0</v>
      </c>
    </row>
    <row r="10">
      <c r="A10" s="2" t="s">
        <v>208</v>
      </c>
      <c r="B10" s="1" t="s">
        <v>209</v>
      </c>
      <c r="C10" s="1" t="s">
        <v>25</v>
      </c>
      <c r="D10" s="1" t="str">
        <f t="shared" si="1"/>
        <v>E-Commerce Solutions</v>
      </c>
      <c r="E10" s="4">
        <v>1100.0</v>
      </c>
      <c r="F10" s="1" t="s">
        <v>54</v>
      </c>
      <c r="G10" s="10">
        <v>46184.0</v>
      </c>
      <c r="H10" s="10">
        <v>46212.0</v>
      </c>
      <c r="I10" s="1" t="s">
        <v>84</v>
      </c>
      <c r="J10" s="1" t="s">
        <v>210</v>
      </c>
      <c r="K10" s="1" t="s">
        <v>109</v>
      </c>
      <c r="L10" s="1">
        <v>5.0</v>
      </c>
    </row>
    <row r="11">
      <c r="A11" s="2" t="s">
        <v>211</v>
      </c>
      <c r="B11" s="1" t="s">
        <v>212</v>
      </c>
      <c r="C11" s="1" t="s">
        <v>22</v>
      </c>
      <c r="D11" s="1" t="str">
        <f t="shared" si="1"/>
        <v>Digital Marketing</v>
      </c>
      <c r="E11" s="4">
        <v>2000.0</v>
      </c>
      <c r="F11" s="1" t="s">
        <v>54</v>
      </c>
      <c r="G11" s="10">
        <v>46185.0</v>
      </c>
      <c r="H11" s="10">
        <v>46213.0</v>
      </c>
      <c r="I11" s="1" t="s">
        <v>62</v>
      </c>
      <c r="J11" s="1" t="s">
        <v>193</v>
      </c>
      <c r="K11" s="1" t="s">
        <v>109</v>
      </c>
      <c r="L11" s="1">
        <v>5.0</v>
      </c>
    </row>
    <row r="12">
      <c r="A12" s="2" t="s">
        <v>213</v>
      </c>
      <c r="B12" s="1" t="s">
        <v>214</v>
      </c>
      <c r="C12" s="1" t="s">
        <v>45</v>
      </c>
      <c r="D12" s="1" t="str">
        <f t="shared" si="1"/>
        <v>Software Engineering</v>
      </c>
      <c r="E12" s="4">
        <v>9500.0</v>
      </c>
      <c r="F12" s="1" t="s">
        <v>54</v>
      </c>
      <c r="G12" s="10">
        <v>46186.0</v>
      </c>
      <c r="H12" s="10">
        <v>46214.0</v>
      </c>
      <c r="I12" s="1" t="s">
        <v>64</v>
      </c>
      <c r="J12" s="1" t="s">
        <v>207</v>
      </c>
      <c r="K12" s="1" t="s">
        <v>109</v>
      </c>
      <c r="L12" s="1">
        <v>5.0</v>
      </c>
    </row>
    <row r="13">
      <c r="A13" s="2" t="s">
        <v>215</v>
      </c>
      <c r="B13" s="1" t="s">
        <v>216</v>
      </c>
      <c r="C13" s="1" t="s">
        <v>27</v>
      </c>
      <c r="D13" s="1" t="str">
        <f t="shared" si="1"/>
        <v>Game Development</v>
      </c>
      <c r="E13" s="4">
        <v>7000.0</v>
      </c>
      <c r="F13" s="1" t="s">
        <v>54</v>
      </c>
      <c r="G13" s="10">
        <v>46187.0</v>
      </c>
      <c r="H13" s="10">
        <v>46215.0</v>
      </c>
      <c r="I13" s="1" t="s">
        <v>92</v>
      </c>
      <c r="J13" s="1" t="s">
        <v>217</v>
      </c>
      <c r="K13" s="1" t="s">
        <v>109</v>
      </c>
      <c r="L13" s="1">
        <v>5.0</v>
      </c>
    </row>
    <row r="14">
      <c r="A14" s="2" t="s">
        <v>218</v>
      </c>
      <c r="B14" s="1" t="s">
        <v>219</v>
      </c>
      <c r="C14" s="1" t="s">
        <v>35</v>
      </c>
      <c r="D14" s="1" t="str">
        <f t="shared" si="1"/>
        <v>Machine Learning</v>
      </c>
      <c r="E14" s="4">
        <v>3800.0</v>
      </c>
      <c r="F14" s="1" t="s">
        <v>54</v>
      </c>
      <c r="G14" s="10">
        <v>46188.0</v>
      </c>
      <c r="H14" s="10">
        <v>46216.0</v>
      </c>
      <c r="I14" s="1" t="s">
        <v>90</v>
      </c>
      <c r="J14" s="1" t="s">
        <v>199</v>
      </c>
      <c r="K14" s="1" t="s">
        <v>109</v>
      </c>
      <c r="L14" s="1">
        <v>5.0</v>
      </c>
    </row>
    <row r="15">
      <c r="A15" s="2" t="s">
        <v>220</v>
      </c>
      <c r="B15" s="1" t="s">
        <v>221</v>
      </c>
      <c r="C15" s="1" t="s">
        <v>29</v>
      </c>
      <c r="D15" s="1" t="str">
        <f t="shared" si="1"/>
        <v>Graphic Designing</v>
      </c>
      <c r="E15" s="4">
        <v>15000.0</v>
      </c>
      <c r="F15" s="1" t="s">
        <v>54</v>
      </c>
      <c r="G15" s="10">
        <v>46189.0</v>
      </c>
      <c r="H15" s="10">
        <v>46217.0</v>
      </c>
      <c r="I15" s="1" t="s">
        <v>100</v>
      </c>
      <c r="J15" s="1" t="s">
        <v>186</v>
      </c>
      <c r="K15" s="1" t="s">
        <v>109</v>
      </c>
      <c r="L15" s="1">
        <v>5.0</v>
      </c>
    </row>
    <row r="16">
      <c r="A16" s="2" t="s">
        <v>222</v>
      </c>
      <c r="B16" s="1" t="s">
        <v>223</v>
      </c>
      <c r="C16" s="1" t="s">
        <v>38</v>
      </c>
      <c r="D16" s="1" t="str">
        <f t="shared" si="1"/>
        <v>Network Administration</v>
      </c>
      <c r="E16" s="4">
        <v>5500.0</v>
      </c>
      <c r="F16" s="1" t="s">
        <v>54</v>
      </c>
      <c r="G16" s="10">
        <v>46190.0</v>
      </c>
      <c r="H16" s="10">
        <v>46218.0</v>
      </c>
      <c r="I16" s="1" t="s">
        <v>67</v>
      </c>
      <c r="J16" s="1" t="s">
        <v>190</v>
      </c>
      <c r="K16" s="1" t="s">
        <v>109</v>
      </c>
      <c r="L16" s="1">
        <v>5.0</v>
      </c>
    </row>
    <row r="17">
      <c r="A17" s="2" t="s">
        <v>224</v>
      </c>
      <c r="B17" s="1" t="s">
        <v>225</v>
      </c>
      <c r="C17" s="1" t="s">
        <v>30</v>
      </c>
      <c r="D17" s="1" t="str">
        <f t="shared" si="1"/>
        <v>It Consulting</v>
      </c>
      <c r="E17" s="4">
        <v>1300.0</v>
      </c>
      <c r="F17" s="1" t="s">
        <v>54</v>
      </c>
      <c r="G17" s="10">
        <v>46191.0</v>
      </c>
      <c r="H17" s="10">
        <v>46219.0</v>
      </c>
      <c r="I17" s="1" t="s">
        <v>80</v>
      </c>
      <c r="J17" s="1" t="s">
        <v>196</v>
      </c>
      <c r="K17" s="1" t="s">
        <v>109</v>
      </c>
      <c r="L17" s="1">
        <v>5.0</v>
      </c>
    </row>
    <row r="18">
      <c r="A18" s="2" t="s">
        <v>226</v>
      </c>
      <c r="B18" s="1" t="s">
        <v>227</v>
      </c>
      <c r="C18" s="1" t="s">
        <v>10</v>
      </c>
      <c r="D18" s="1" t="str">
        <f t="shared" si="1"/>
        <v>Business Intelligence</v>
      </c>
      <c r="E18" s="4">
        <v>7200.0</v>
      </c>
      <c r="F18" s="1" t="s">
        <v>54</v>
      </c>
      <c r="G18" s="10">
        <v>46192.0</v>
      </c>
      <c r="H18" s="10">
        <v>46220.0</v>
      </c>
      <c r="I18" s="1" t="s">
        <v>83</v>
      </c>
      <c r="J18" s="1" t="s">
        <v>186</v>
      </c>
      <c r="K18" s="1" t="s">
        <v>109</v>
      </c>
      <c r="L18" s="1">
        <v>5.0</v>
      </c>
    </row>
    <row r="19">
      <c r="A19" s="2" t="s">
        <v>228</v>
      </c>
      <c r="B19" s="1" t="s">
        <v>229</v>
      </c>
      <c r="C19" s="1" t="s">
        <v>14</v>
      </c>
      <c r="D19" s="1" t="str">
        <f t="shared" si="1"/>
        <v>Content Strategy</v>
      </c>
      <c r="E19" s="4">
        <v>6500.0</v>
      </c>
      <c r="F19" s="1" t="s">
        <v>54</v>
      </c>
      <c r="G19" s="10">
        <v>46193.0</v>
      </c>
      <c r="H19" s="10">
        <v>46221.0</v>
      </c>
      <c r="I19" s="1" t="s">
        <v>104</v>
      </c>
      <c r="J19" s="1" t="s">
        <v>193</v>
      </c>
      <c r="K19" s="1" t="s">
        <v>109</v>
      </c>
      <c r="L19" s="1">
        <v>5.0</v>
      </c>
    </row>
    <row r="20">
      <c r="A20" s="2" t="s">
        <v>230</v>
      </c>
      <c r="B20" s="1" t="s">
        <v>231</v>
      </c>
      <c r="C20" s="1" t="s">
        <v>49</v>
      </c>
      <c r="D20" s="1" t="str">
        <f t="shared" si="1"/>
        <v>Web Design</v>
      </c>
      <c r="E20" s="4">
        <v>12000.0</v>
      </c>
      <c r="F20" s="1" t="s">
        <v>54</v>
      </c>
      <c r="G20" s="10">
        <v>46194.0</v>
      </c>
      <c r="H20" s="10">
        <v>46222.0</v>
      </c>
      <c r="I20" s="1" t="s">
        <v>59</v>
      </c>
      <c r="J20" s="1" t="s">
        <v>186</v>
      </c>
      <c r="K20" s="1" t="s">
        <v>109</v>
      </c>
      <c r="L20" s="1">
        <v>5.0</v>
      </c>
    </row>
    <row r="21" ht="15.75" customHeight="1">
      <c r="A21" s="2" t="s">
        <v>232</v>
      </c>
      <c r="B21" s="1" t="s">
        <v>233</v>
      </c>
      <c r="C21" s="1" t="s">
        <v>20</v>
      </c>
      <c r="D21" s="1" t="str">
        <f t="shared" si="1"/>
        <v>Database Management</v>
      </c>
      <c r="E21" s="4">
        <v>4200.0</v>
      </c>
      <c r="F21" s="1" t="s">
        <v>54</v>
      </c>
      <c r="G21" s="10">
        <v>46195.0</v>
      </c>
      <c r="H21" s="10">
        <v>46223.0</v>
      </c>
      <c r="I21" s="1" t="s">
        <v>77</v>
      </c>
      <c r="J21" s="1" t="s">
        <v>199</v>
      </c>
      <c r="K21" s="1" t="s">
        <v>109</v>
      </c>
      <c r="L21" s="1">
        <v>5.0</v>
      </c>
    </row>
    <row r="22" ht="15.75" customHeight="1">
      <c r="A22" s="2" t="s">
        <v>234</v>
      </c>
      <c r="B22" s="1" t="s">
        <v>235</v>
      </c>
      <c r="C22" s="1" t="s">
        <v>12</v>
      </c>
      <c r="D22" s="1" t="str">
        <f t="shared" si="1"/>
        <v>Cloud Migration</v>
      </c>
      <c r="E22" s="4">
        <v>25000.0</v>
      </c>
      <c r="F22" s="1" t="s">
        <v>54</v>
      </c>
      <c r="G22" s="10">
        <v>46196.0</v>
      </c>
      <c r="H22" s="10">
        <v>46224.0</v>
      </c>
      <c r="I22" s="1" t="s">
        <v>96</v>
      </c>
      <c r="J22" s="1" t="s">
        <v>186</v>
      </c>
      <c r="K22" s="1" t="s">
        <v>109</v>
      </c>
      <c r="L22" s="1">
        <v>5.0</v>
      </c>
    </row>
    <row r="23" ht="15.75" customHeight="1">
      <c r="A23" s="2" t="s">
        <v>236</v>
      </c>
      <c r="B23" s="1" t="s">
        <v>237</v>
      </c>
      <c r="C23" s="1" t="s">
        <v>5</v>
      </c>
      <c r="D23" s="1" t="str">
        <f t="shared" si="1"/>
        <v>App Development</v>
      </c>
      <c r="E23" s="4">
        <v>2800.0</v>
      </c>
      <c r="F23" s="1" t="s">
        <v>54</v>
      </c>
      <c r="G23" s="10">
        <v>46197.0</v>
      </c>
      <c r="H23" s="10">
        <v>46225.0</v>
      </c>
      <c r="I23" s="1" t="s">
        <v>60</v>
      </c>
      <c r="J23" s="1" t="s">
        <v>196</v>
      </c>
      <c r="K23" s="1" t="s">
        <v>109</v>
      </c>
      <c r="L23" s="1">
        <v>5.0</v>
      </c>
    </row>
    <row r="24" ht="15.75" customHeight="1">
      <c r="A24" s="2" t="s">
        <v>238</v>
      </c>
      <c r="B24" s="1" t="s">
        <v>239</v>
      </c>
      <c r="C24" s="1" t="s">
        <v>42</v>
      </c>
      <c r="D24" s="1" t="str">
        <f t="shared" si="1"/>
        <v>Seo Optimization</v>
      </c>
      <c r="E24" s="4">
        <v>2200.0</v>
      </c>
      <c r="F24" s="1" t="s">
        <v>54</v>
      </c>
      <c r="G24" s="10">
        <v>46198.0</v>
      </c>
      <c r="H24" s="10">
        <v>46226.0</v>
      </c>
      <c r="I24" s="1" t="s">
        <v>57</v>
      </c>
      <c r="J24" s="1" t="s">
        <v>202</v>
      </c>
      <c r="K24" s="1" t="s">
        <v>109</v>
      </c>
      <c r="L24" s="1">
        <v>5.0</v>
      </c>
    </row>
    <row r="25" ht="15.75" customHeight="1">
      <c r="A25" s="2" t="s">
        <v>240</v>
      </c>
      <c r="B25" s="1" t="s">
        <v>241</v>
      </c>
      <c r="C25" s="1" t="s">
        <v>47</v>
      </c>
      <c r="D25" s="1" t="str">
        <f t="shared" si="1"/>
        <v>Tech Support</v>
      </c>
      <c r="E25" s="4">
        <v>18000.0</v>
      </c>
      <c r="F25" s="1" t="s">
        <v>54</v>
      </c>
      <c r="G25" s="10">
        <v>46199.0</v>
      </c>
      <c r="H25" s="10">
        <v>46227.0</v>
      </c>
      <c r="I25" s="1" t="s">
        <v>65</v>
      </c>
      <c r="J25" s="1" t="s">
        <v>217</v>
      </c>
      <c r="K25" s="1" t="s">
        <v>109</v>
      </c>
      <c r="L25" s="1">
        <v>5.0</v>
      </c>
    </row>
    <row r="26" ht="15.75" customHeight="1">
      <c r="A26" s="2" t="s">
        <v>242</v>
      </c>
      <c r="B26" s="1" t="s">
        <v>243</v>
      </c>
      <c r="C26" s="1" t="s">
        <v>24</v>
      </c>
      <c r="D26" s="1" t="str">
        <f t="shared" si="1"/>
        <v>E-Commerce Setup</v>
      </c>
      <c r="E26" s="4">
        <v>4500.0</v>
      </c>
      <c r="F26" s="1" t="s">
        <v>54</v>
      </c>
      <c r="G26" s="10">
        <v>46200.0</v>
      </c>
      <c r="H26" s="10">
        <v>46228.0</v>
      </c>
      <c r="I26" s="1" t="s">
        <v>93</v>
      </c>
      <c r="J26" s="1" t="s">
        <v>186</v>
      </c>
      <c r="K26" s="1" t="s">
        <v>109</v>
      </c>
      <c r="L26" s="1">
        <v>5.0</v>
      </c>
    </row>
    <row r="27" ht="15.75" customHeight="1">
      <c r="A27" s="2" t="s">
        <v>244</v>
      </c>
      <c r="B27" s="1" t="s">
        <v>245</v>
      </c>
      <c r="C27" s="1" t="s">
        <v>44</v>
      </c>
      <c r="D27" s="1" t="str">
        <f t="shared" si="1"/>
        <v>Social Media Management</v>
      </c>
      <c r="E27" s="4">
        <v>45000.0</v>
      </c>
      <c r="F27" s="1" t="s">
        <v>54</v>
      </c>
      <c r="G27" s="10">
        <v>46201.0</v>
      </c>
      <c r="H27" s="10">
        <v>46229.0</v>
      </c>
      <c r="I27" s="1" t="s">
        <v>71</v>
      </c>
      <c r="J27" s="1" t="s">
        <v>190</v>
      </c>
      <c r="K27" s="1" t="s">
        <v>109</v>
      </c>
      <c r="L27" s="1">
        <v>5.0</v>
      </c>
    </row>
    <row r="28" ht="15.75" customHeight="1">
      <c r="A28" s="2" t="s">
        <v>246</v>
      </c>
      <c r="B28" s="1" t="s">
        <v>247</v>
      </c>
      <c r="C28" s="1" t="s">
        <v>46</v>
      </c>
      <c r="D28" s="1" t="str">
        <f t="shared" si="1"/>
        <v>Software Testing</v>
      </c>
      <c r="E28" s="4">
        <v>8500.0</v>
      </c>
      <c r="F28" s="1" t="s">
        <v>54</v>
      </c>
      <c r="G28" s="10">
        <v>46202.0</v>
      </c>
      <c r="H28" s="10">
        <v>46230.0</v>
      </c>
      <c r="I28" s="1" t="s">
        <v>68</v>
      </c>
      <c r="J28" s="1" t="s">
        <v>199</v>
      </c>
      <c r="K28" s="1" t="s">
        <v>109</v>
      </c>
      <c r="L28" s="1">
        <v>5.0</v>
      </c>
    </row>
    <row r="29" ht="15.75" customHeight="1">
      <c r="A29" s="2" t="s">
        <v>248</v>
      </c>
      <c r="B29" s="1" t="s">
        <v>249</v>
      </c>
      <c r="C29" s="1" t="s">
        <v>3</v>
      </c>
      <c r="D29" s="1" t="str">
        <f t="shared" si="1"/>
        <v>Ai Integration</v>
      </c>
      <c r="E29" s="4">
        <v>35000.0</v>
      </c>
      <c r="F29" s="1" t="s">
        <v>54</v>
      </c>
      <c r="G29" s="10">
        <v>46203.0</v>
      </c>
      <c r="H29" s="10">
        <v>46231.0</v>
      </c>
      <c r="I29" s="1" t="s">
        <v>99</v>
      </c>
      <c r="J29" s="1" t="s">
        <v>186</v>
      </c>
      <c r="K29" s="1" t="s">
        <v>109</v>
      </c>
      <c r="L29" s="1">
        <v>5.0</v>
      </c>
    </row>
    <row r="30" ht="15.75" customHeight="1">
      <c r="A30" s="2" t="s">
        <v>250</v>
      </c>
      <c r="B30" s="1" t="s">
        <v>251</v>
      </c>
      <c r="C30" s="1" t="s">
        <v>32</v>
      </c>
      <c r="D30" s="1" t="str">
        <f t="shared" si="1"/>
        <v>It Infrastructure</v>
      </c>
      <c r="E30" s="4">
        <v>5800.0</v>
      </c>
      <c r="F30" s="1" t="s">
        <v>54</v>
      </c>
      <c r="G30" s="10">
        <v>46204.0</v>
      </c>
      <c r="H30" s="10">
        <v>46232.0</v>
      </c>
      <c r="I30" s="1" t="s">
        <v>89</v>
      </c>
      <c r="J30" s="1" t="s">
        <v>193</v>
      </c>
      <c r="K30" s="1" t="s">
        <v>109</v>
      </c>
      <c r="L30" s="1">
        <v>5.0</v>
      </c>
    </row>
    <row r="31" ht="15.75" customHeight="1">
      <c r="A31" s="2" t="s">
        <v>252</v>
      </c>
      <c r="B31" s="1" t="s">
        <v>253</v>
      </c>
      <c r="C31" s="1" t="s">
        <v>15</v>
      </c>
      <c r="D31" s="1" t="str">
        <f t="shared" si="1"/>
        <v>Content Writing</v>
      </c>
      <c r="E31" s="4">
        <v>6000.0</v>
      </c>
      <c r="F31" s="1" t="s">
        <v>54</v>
      </c>
      <c r="G31" s="10">
        <v>46205.0</v>
      </c>
      <c r="H31" s="10">
        <v>46233.0</v>
      </c>
      <c r="I31" s="1" t="s">
        <v>76</v>
      </c>
      <c r="J31" s="1" t="s">
        <v>202</v>
      </c>
      <c r="K31" s="1" t="s">
        <v>109</v>
      </c>
      <c r="L31" s="1">
        <v>5.0</v>
      </c>
    </row>
    <row r="32" ht="15.75" customHeight="1">
      <c r="A32" s="2" t="s">
        <v>254</v>
      </c>
      <c r="B32" s="1" t="s">
        <v>255</v>
      </c>
      <c r="C32" s="1" t="s">
        <v>6</v>
      </c>
      <c r="D32" s="1" t="str">
        <f t="shared" si="1"/>
        <v>Backend Development</v>
      </c>
      <c r="E32" s="4">
        <v>4200.0</v>
      </c>
      <c r="F32" s="1" t="s">
        <v>54</v>
      </c>
      <c r="G32" s="10">
        <v>46206.0</v>
      </c>
      <c r="H32" s="10">
        <v>46234.0</v>
      </c>
      <c r="I32" s="1" t="s">
        <v>61</v>
      </c>
      <c r="J32" s="1" t="s">
        <v>207</v>
      </c>
      <c r="K32" s="1" t="s">
        <v>109</v>
      </c>
      <c r="L32" s="1">
        <v>5.0</v>
      </c>
    </row>
    <row r="33" ht="15.75" customHeight="1">
      <c r="A33" s="2" t="s">
        <v>256</v>
      </c>
      <c r="B33" s="1" t="s">
        <v>257</v>
      </c>
      <c r="C33" s="1" t="s">
        <v>13</v>
      </c>
      <c r="D33" s="1" t="str">
        <f t="shared" si="1"/>
        <v>Cloud Storage Solutions</v>
      </c>
      <c r="E33" s="4">
        <v>5500.0</v>
      </c>
      <c r="F33" s="1" t="s">
        <v>54</v>
      </c>
      <c r="G33" s="10">
        <v>46207.0</v>
      </c>
      <c r="H33" s="10">
        <v>46235.0</v>
      </c>
      <c r="I33" s="1" t="s">
        <v>73</v>
      </c>
      <c r="J33" s="1" t="s">
        <v>186</v>
      </c>
      <c r="K33" s="1" t="s">
        <v>109</v>
      </c>
      <c r="L33" s="1">
        <v>5.0</v>
      </c>
    </row>
    <row r="34" ht="15.75" customHeight="1">
      <c r="A34" s="2" t="s">
        <v>258</v>
      </c>
      <c r="B34" s="1" t="s">
        <v>259</v>
      </c>
      <c r="C34" s="1" t="s">
        <v>17</v>
      </c>
      <c r="D34" s="1" t="str">
        <f t="shared" si="1"/>
        <v>Cyber Security Training</v>
      </c>
      <c r="E34" s="4">
        <v>9000.0</v>
      </c>
      <c r="F34" s="1" t="s">
        <v>54</v>
      </c>
      <c r="G34" s="10">
        <v>46208.0</v>
      </c>
      <c r="H34" s="10">
        <v>46236.0</v>
      </c>
      <c r="I34" s="1" t="s">
        <v>81</v>
      </c>
      <c r="J34" s="1" t="s">
        <v>210</v>
      </c>
      <c r="K34" s="1" t="s">
        <v>109</v>
      </c>
      <c r="L34" s="1">
        <v>5.0</v>
      </c>
    </row>
    <row r="35" ht="15.75" customHeight="1">
      <c r="A35" s="2" t="s">
        <v>260</v>
      </c>
      <c r="B35" s="1" t="s">
        <v>261</v>
      </c>
      <c r="C35" s="1" t="s">
        <v>36</v>
      </c>
      <c r="D35" s="1" t="str">
        <f t="shared" si="1"/>
        <v>Mobile App Qa</v>
      </c>
      <c r="E35" s="4">
        <v>1800.0</v>
      </c>
      <c r="F35" s="1" t="s">
        <v>54</v>
      </c>
      <c r="G35" s="10">
        <v>46209.0</v>
      </c>
      <c r="H35" s="10">
        <v>46237.0</v>
      </c>
      <c r="I35" s="1" t="s">
        <v>78</v>
      </c>
      <c r="J35" s="1" t="s">
        <v>196</v>
      </c>
      <c r="K35" s="1" t="s">
        <v>109</v>
      </c>
      <c r="L35" s="1">
        <v>5.0</v>
      </c>
    </row>
    <row r="36" ht="15.75" customHeight="1">
      <c r="A36" s="2" t="s">
        <v>262</v>
      </c>
      <c r="B36" s="1" t="s">
        <v>263</v>
      </c>
      <c r="C36" s="1" t="s">
        <v>34</v>
      </c>
      <c r="D36" s="1" t="str">
        <f t="shared" si="1"/>
        <v>Local Seo</v>
      </c>
      <c r="E36" s="4">
        <v>5200.0</v>
      </c>
      <c r="F36" s="1" t="s">
        <v>54</v>
      </c>
      <c r="G36" s="10">
        <v>46210.0</v>
      </c>
      <c r="H36" s="10">
        <v>46238.0</v>
      </c>
      <c r="I36" s="1" t="s">
        <v>63</v>
      </c>
      <c r="J36" s="1" t="s">
        <v>199</v>
      </c>
      <c r="K36" s="1" t="s">
        <v>109</v>
      </c>
      <c r="L36" s="1">
        <v>5.0</v>
      </c>
    </row>
    <row r="37" ht="15.75" customHeight="1">
      <c r="A37" s="2" t="s">
        <v>264</v>
      </c>
      <c r="B37" s="1" t="s">
        <v>265</v>
      </c>
      <c r="C37" s="1" t="s">
        <v>41</v>
      </c>
      <c r="D37" s="1" t="str">
        <f t="shared" si="1"/>
        <v>Remote It Support</v>
      </c>
      <c r="E37" s="4">
        <v>3000.0</v>
      </c>
      <c r="F37" s="1" t="s">
        <v>54</v>
      </c>
      <c r="G37" s="10">
        <v>46211.0</v>
      </c>
      <c r="H37" s="10">
        <v>46239.0</v>
      </c>
      <c r="I37" s="1" t="s">
        <v>66</v>
      </c>
      <c r="J37" s="1" t="s">
        <v>186</v>
      </c>
      <c r="K37" s="1" t="s">
        <v>109</v>
      </c>
      <c r="L37" s="1">
        <v>5.0</v>
      </c>
    </row>
    <row r="38" ht="15.75" customHeight="1">
      <c r="A38" s="2" t="s">
        <v>266</v>
      </c>
      <c r="B38" s="1" t="s">
        <v>267</v>
      </c>
      <c r="C38" s="1" t="s">
        <v>40</v>
      </c>
      <c r="D38" s="1" t="str">
        <f t="shared" si="1"/>
        <v>Product Prototyping</v>
      </c>
      <c r="E38" s="4">
        <v>4100.0</v>
      </c>
      <c r="F38" s="1" t="s">
        <v>54</v>
      </c>
      <c r="G38" s="10">
        <v>46212.0</v>
      </c>
      <c r="H38" s="10">
        <v>46240.0</v>
      </c>
      <c r="I38" s="1" t="s">
        <v>94</v>
      </c>
      <c r="J38" s="1" t="s">
        <v>207</v>
      </c>
      <c r="K38" s="1" t="s">
        <v>109</v>
      </c>
      <c r="L38" s="1">
        <v>5.0</v>
      </c>
    </row>
    <row r="39" ht="15.75" customHeight="1">
      <c r="A39" s="2" t="s">
        <v>268</v>
      </c>
      <c r="B39" s="1" t="s">
        <v>269</v>
      </c>
      <c r="C39" s="1" t="s">
        <v>23</v>
      </c>
      <c r="D39" s="1" t="str">
        <f t="shared" si="1"/>
        <v>Digital Transformation </v>
      </c>
      <c r="E39" s="4">
        <v>12000.0</v>
      </c>
      <c r="F39" s="1" t="s">
        <v>54</v>
      </c>
      <c r="G39" s="10">
        <v>46213.0</v>
      </c>
      <c r="H39" s="10">
        <v>46241.0</v>
      </c>
      <c r="I39" s="1" t="s">
        <v>87</v>
      </c>
      <c r="J39" s="1" t="s">
        <v>190</v>
      </c>
      <c r="K39" s="1" t="s">
        <v>109</v>
      </c>
      <c r="L39" s="1">
        <v>5.0</v>
      </c>
    </row>
    <row r="40" ht="15.75" customHeight="1">
      <c r="A40" s="2" t="s">
        <v>270</v>
      </c>
      <c r="B40" s="1" t="s">
        <v>271</v>
      </c>
      <c r="C40" s="1" t="s">
        <v>19</v>
      </c>
      <c r="D40" s="1" t="str">
        <f t="shared" si="1"/>
        <v>Data Engineering</v>
      </c>
      <c r="E40" s="4">
        <v>8500.0</v>
      </c>
      <c r="F40" s="1" t="s">
        <v>54</v>
      </c>
      <c r="G40" s="10">
        <v>46214.0</v>
      </c>
      <c r="H40" s="10">
        <v>46242.0</v>
      </c>
      <c r="I40" s="1" t="s">
        <v>98</v>
      </c>
      <c r="J40" s="1" t="s">
        <v>186</v>
      </c>
      <c r="K40" s="1" t="s">
        <v>109</v>
      </c>
      <c r="L40" s="1">
        <v>5.0</v>
      </c>
    </row>
    <row r="41" ht="15.75" customHeight="1">
      <c r="A41" s="2" t="s">
        <v>272</v>
      </c>
      <c r="B41" s="1" t="s">
        <v>273</v>
      </c>
      <c r="C41" s="1" t="s">
        <v>39</v>
      </c>
      <c r="D41" s="1" t="str">
        <f t="shared" si="1"/>
        <v>Predictive Modeling</v>
      </c>
      <c r="E41" s="4">
        <v>7000.0</v>
      </c>
      <c r="F41" s="1" t="s">
        <v>54</v>
      </c>
      <c r="G41" s="10">
        <v>46215.0</v>
      </c>
      <c r="H41" s="10">
        <v>46243.0</v>
      </c>
      <c r="I41" s="1" t="s">
        <v>74</v>
      </c>
      <c r="J41" s="1" t="s">
        <v>202</v>
      </c>
      <c r="K41" s="1" t="s">
        <v>109</v>
      </c>
      <c r="L41" s="1">
        <v>5.0</v>
      </c>
    </row>
    <row r="42" ht="15.75" customHeight="1">
      <c r="A42" s="2" t="s">
        <v>274</v>
      </c>
      <c r="B42" s="1" t="s">
        <v>275</v>
      </c>
      <c r="C42" s="1" t="s">
        <v>21</v>
      </c>
      <c r="D42" s="1" t="str">
        <f t="shared" si="1"/>
        <v>Devops Pipeline Setup</v>
      </c>
      <c r="E42" s="4">
        <v>5000.0</v>
      </c>
      <c r="F42" s="1" t="s">
        <v>54</v>
      </c>
      <c r="G42" s="10">
        <v>46216.0</v>
      </c>
      <c r="H42" s="10">
        <v>46244.0</v>
      </c>
      <c r="I42" s="1" t="s">
        <v>72</v>
      </c>
      <c r="J42" s="1" t="s">
        <v>196</v>
      </c>
      <c r="K42" s="1" t="s">
        <v>109</v>
      </c>
      <c r="L42" s="1">
        <v>5.0</v>
      </c>
    </row>
    <row r="43" ht="15.75" customHeight="1">
      <c r="A43" s="2" t="s">
        <v>276</v>
      </c>
      <c r="B43" s="1" t="s">
        <v>277</v>
      </c>
      <c r="C43" s="1" t="s">
        <v>8</v>
      </c>
      <c r="D43" s="1" t="str">
        <f t="shared" si="1"/>
        <v>Blockchain Development</v>
      </c>
      <c r="E43" s="4">
        <v>14000.0</v>
      </c>
      <c r="F43" s="1" t="s">
        <v>54</v>
      </c>
      <c r="G43" s="10">
        <v>46217.0</v>
      </c>
      <c r="H43" s="10">
        <v>46245.0</v>
      </c>
      <c r="I43" s="1" t="s">
        <v>97</v>
      </c>
      <c r="J43" s="1" t="s">
        <v>217</v>
      </c>
      <c r="K43" s="1" t="s">
        <v>109</v>
      </c>
      <c r="L43" s="1">
        <v>5.0</v>
      </c>
    </row>
    <row r="44" ht="15.75" customHeight="1">
      <c r="A44" s="2" t="s">
        <v>278</v>
      </c>
      <c r="B44" s="1" t="s">
        <v>279</v>
      </c>
      <c r="C44" s="1" t="s">
        <v>4</v>
      </c>
      <c r="D44" s="1" t="str">
        <f t="shared" si="1"/>
        <v>Api Integration Services</v>
      </c>
      <c r="E44" s="4">
        <v>4800.0</v>
      </c>
      <c r="F44" s="1" t="s">
        <v>54</v>
      </c>
      <c r="G44" s="10">
        <v>46218.0</v>
      </c>
      <c r="H44" s="10">
        <v>46246.0</v>
      </c>
      <c r="I44" s="1" t="s">
        <v>102</v>
      </c>
      <c r="J44" s="1" t="s">
        <v>207</v>
      </c>
      <c r="K44" s="1" t="s">
        <v>109</v>
      </c>
      <c r="L44" s="1">
        <v>5.0</v>
      </c>
    </row>
    <row r="45" ht="15.75" customHeight="1">
      <c r="A45" s="2" t="s">
        <v>280</v>
      </c>
      <c r="B45" s="1" t="s">
        <v>281</v>
      </c>
      <c r="C45" s="1" t="s">
        <v>31</v>
      </c>
      <c r="D45" s="1" t="str">
        <f t="shared" si="1"/>
        <v>It Disaster Recovery</v>
      </c>
      <c r="E45" s="4">
        <v>12500.0</v>
      </c>
      <c r="F45" s="1" t="s">
        <v>54</v>
      </c>
      <c r="G45" s="10">
        <v>46219.0</v>
      </c>
      <c r="H45" s="10">
        <v>46247.0</v>
      </c>
      <c r="I45" s="1" t="s">
        <v>95</v>
      </c>
      <c r="J45" s="1" t="s">
        <v>186</v>
      </c>
      <c r="K45" s="1" t="s">
        <v>109</v>
      </c>
      <c r="L45" s="1">
        <v>5.0</v>
      </c>
    </row>
    <row r="46" ht="15.75" customHeight="1">
      <c r="A46" s="2" t="s">
        <v>282</v>
      </c>
      <c r="B46" s="1" t="s">
        <v>283</v>
      </c>
      <c r="C46" s="1" t="s">
        <v>26</v>
      </c>
      <c r="D46" s="1" t="str">
        <f t="shared" si="1"/>
        <v>Erp System Implementation</v>
      </c>
      <c r="E46" s="4">
        <v>3500.0</v>
      </c>
      <c r="F46" s="1" t="s">
        <v>54</v>
      </c>
      <c r="G46" s="10">
        <v>46220.0</v>
      </c>
      <c r="H46" s="10">
        <v>46248.0</v>
      </c>
      <c r="I46" s="1" t="s">
        <v>105</v>
      </c>
      <c r="J46" s="1" t="s">
        <v>199</v>
      </c>
      <c r="K46" s="1" t="s">
        <v>109</v>
      </c>
      <c r="L46" s="1">
        <v>5.0</v>
      </c>
    </row>
    <row r="47" ht="15.75" customHeight="1">
      <c r="A47" s="2" t="s">
        <v>284</v>
      </c>
      <c r="B47" s="1" t="s">
        <v>285</v>
      </c>
      <c r="C47" s="1" t="s">
        <v>9</v>
      </c>
      <c r="D47" s="1" t="str">
        <f t="shared" si="1"/>
        <v>Business Automation</v>
      </c>
      <c r="E47" s="4">
        <v>6200.0</v>
      </c>
      <c r="F47" s="1" t="s">
        <v>54</v>
      </c>
      <c r="G47" s="10">
        <v>46221.0</v>
      </c>
      <c r="H47" s="10">
        <v>46249.0</v>
      </c>
      <c r="I47" s="1" t="s">
        <v>82</v>
      </c>
      <c r="J47" s="1" t="s">
        <v>193</v>
      </c>
      <c r="K47" s="1" t="s">
        <v>109</v>
      </c>
      <c r="L47" s="1">
        <v>5.0</v>
      </c>
    </row>
    <row r="48" ht="15.75" customHeight="1">
      <c r="A48" s="2" t="s">
        <v>286</v>
      </c>
      <c r="B48" s="1" t="s">
        <v>287</v>
      </c>
      <c r="C48" s="1" t="s">
        <v>28</v>
      </c>
      <c r="D48" s="1" t="str">
        <f t="shared" si="1"/>
        <v>Generative Ai Solutions</v>
      </c>
      <c r="E48" s="4">
        <v>8800.0</v>
      </c>
      <c r="F48" s="1" t="s">
        <v>54</v>
      </c>
      <c r="G48" s="10">
        <v>46222.0</v>
      </c>
      <c r="H48" s="10">
        <v>46250.0</v>
      </c>
      <c r="I48" s="1" t="s">
        <v>58</v>
      </c>
      <c r="J48" s="1" t="s">
        <v>190</v>
      </c>
      <c r="K48" s="1" t="s">
        <v>109</v>
      </c>
      <c r="L48" s="1">
        <v>5.0</v>
      </c>
    </row>
    <row r="49" ht="15.75" customHeight="1">
      <c r="A49" s="2" t="s">
        <v>288</v>
      </c>
      <c r="B49" s="1" t="s">
        <v>289</v>
      </c>
      <c r="C49" s="1" t="s">
        <v>7</v>
      </c>
      <c r="D49" s="1" t="str">
        <f t="shared" si="1"/>
        <v>Big Data Analytics</v>
      </c>
      <c r="E49" s="4">
        <v>4400.0</v>
      </c>
      <c r="F49" s="1" t="s">
        <v>54</v>
      </c>
      <c r="G49" s="10">
        <v>46223.0</v>
      </c>
      <c r="H49" s="10">
        <v>46251.0</v>
      </c>
      <c r="I49" s="1" t="s">
        <v>86</v>
      </c>
      <c r="J49" s="1" t="s">
        <v>196</v>
      </c>
      <c r="K49" s="1" t="s">
        <v>109</v>
      </c>
      <c r="L49" s="1">
        <v>5.0</v>
      </c>
    </row>
    <row r="50" ht="15.75" customHeight="1">
      <c r="A50" s="2" t="s">
        <v>290</v>
      </c>
      <c r="B50" s="1" t="s">
        <v>291</v>
      </c>
      <c r="C50" s="1" t="s">
        <v>37</v>
      </c>
      <c r="D50" s="1" t="str">
        <f t="shared" si="1"/>
        <v>Natural Language Processing</v>
      </c>
      <c r="E50" s="4">
        <v>22000.0</v>
      </c>
      <c r="F50" s="1" t="s">
        <v>54</v>
      </c>
      <c r="G50" s="10">
        <v>46224.0</v>
      </c>
      <c r="H50" s="10">
        <v>46252.0</v>
      </c>
      <c r="I50" s="1" t="s">
        <v>106</v>
      </c>
      <c r="J50" s="1" t="s">
        <v>186</v>
      </c>
      <c r="K50" s="1" t="s">
        <v>109</v>
      </c>
      <c r="L50" s="1">
        <v>5.0</v>
      </c>
    </row>
    <row r="51" ht="15.75" customHeight="1">
      <c r="A51" s="2" t="s">
        <v>292</v>
      </c>
      <c r="B51" s="2" t="s">
        <v>293</v>
      </c>
      <c r="C51" s="2" t="s">
        <v>50</v>
      </c>
      <c r="D51" s="1" t="str">
        <f t="shared" si="1"/>
        <v>Wev Development</v>
      </c>
      <c r="E51" s="4">
        <v>5200.0</v>
      </c>
      <c r="F51" s="1" t="s">
        <v>54</v>
      </c>
      <c r="G51" s="10">
        <v>46225.0</v>
      </c>
      <c r="H51" s="10">
        <v>46253.0</v>
      </c>
      <c r="I51" s="1" t="s">
        <v>103</v>
      </c>
      <c r="J51" s="1" t="s">
        <v>207</v>
      </c>
      <c r="K51" s="1" t="s">
        <v>109</v>
      </c>
      <c r="L51" s="1">
        <v>5.0</v>
      </c>
    </row>
    <row r="52" ht="15.75" customHeight="1">
      <c r="E52" s="4"/>
    </row>
    <row r="53" ht="15.75" customHeight="1">
      <c r="E53" s="4"/>
    </row>
    <row r="54" ht="15.75" customHeight="1">
      <c r="E54" s="4"/>
    </row>
    <row r="55" ht="15.75" customHeight="1">
      <c r="E55" s="4"/>
    </row>
    <row r="56" ht="15.75" customHeight="1">
      <c r="E56" s="4"/>
    </row>
    <row r="57" ht="15.75" customHeight="1">
      <c r="E57" s="4"/>
    </row>
    <row r="58" ht="15.75" customHeight="1">
      <c r="E58" s="4"/>
    </row>
    <row r="59" ht="15.75" customHeight="1">
      <c r="E59" s="4"/>
    </row>
    <row r="60" ht="15.75" customHeight="1">
      <c r="E60" s="4"/>
    </row>
    <row r="61" ht="15.75" customHeight="1">
      <c r="E61" s="4"/>
    </row>
    <row r="62" ht="15.75" customHeight="1">
      <c r="E62" s="4"/>
    </row>
    <row r="63" ht="15.75" customHeight="1">
      <c r="E63" s="4"/>
    </row>
    <row r="64" ht="15.75" customHeight="1">
      <c r="E64" s="4"/>
    </row>
    <row r="65" ht="15.75" customHeight="1">
      <c r="E65" s="4"/>
    </row>
    <row r="66" ht="15.75" customHeight="1">
      <c r="E66" s="4"/>
    </row>
    <row r="67" ht="15.75" customHeight="1">
      <c r="E67" s="4"/>
    </row>
    <row r="68" ht="15.75" customHeight="1">
      <c r="E68" s="4"/>
    </row>
    <row r="69" ht="15.75" customHeight="1">
      <c r="E69" s="4"/>
    </row>
    <row r="70" ht="15.75" customHeight="1">
      <c r="E70" s="4"/>
    </row>
    <row r="71" ht="15.75" customHeight="1">
      <c r="E71" s="4"/>
    </row>
    <row r="72" ht="15.75" customHeight="1">
      <c r="E72" s="4"/>
    </row>
    <row r="73" ht="15.75" customHeight="1">
      <c r="E73" s="4"/>
    </row>
    <row r="74" ht="15.75" customHeight="1">
      <c r="E74" s="4"/>
    </row>
    <row r="75" ht="15.75" customHeight="1">
      <c r="E75" s="4"/>
    </row>
    <row r="76" ht="15.75" customHeight="1">
      <c r="E76" s="4"/>
    </row>
    <row r="77" ht="15.75" customHeight="1">
      <c r="E77" s="4"/>
    </row>
    <row r="78" ht="15.75" customHeight="1">
      <c r="E78" s="4"/>
    </row>
    <row r="79" ht="15.75" customHeight="1">
      <c r="E79" s="4"/>
    </row>
    <row r="80" ht="15.75" customHeight="1">
      <c r="E80" s="4"/>
    </row>
    <row r="81" ht="15.75" customHeight="1">
      <c r="E81" s="4"/>
    </row>
    <row r="82" ht="15.75" customHeight="1">
      <c r="E82" s="4"/>
    </row>
    <row r="83" ht="15.75" customHeight="1">
      <c r="E83" s="4"/>
    </row>
    <row r="84" ht="15.75" customHeight="1">
      <c r="E84" s="4"/>
    </row>
    <row r="85" ht="15.75" customHeight="1">
      <c r="E85" s="4"/>
    </row>
    <row r="86" ht="15.75" customHeight="1">
      <c r="E86" s="4"/>
    </row>
    <row r="87" ht="15.75" customHeight="1">
      <c r="E87" s="4"/>
    </row>
    <row r="88" ht="15.75" customHeight="1">
      <c r="E88" s="4"/>
    </row>
    <row r="89" ht="15.75" customHeight="1">
      <c r="E89" s="4"/>
    </row>
    <row r="90" ht="15.75" customHeight="1">
      <c r="E90" s="4"/>
    </row>
    <row r="91" ht="15.75" customHeight="1">
      <c r="E91" s="4"/>
    </row>
    <row r="92" ht="15.75" customHeight="1">
      <c r="E92" s="4"/>
    </row>
    <row r="93" ht="15.75" customHeight="1">
      <c r="E93" s="4"/>
    </row>
    <row r="94" ht="15.75" customHeight="1">
      <c r="E94" s="4"/>
    </row>
    <row r="95" ht="15.75" customHeight="1">
      <c r="E95" s="4"/>
    </row>
    <row r="96" ht="15.75" customHeight="1">
      <c r="E96" s="4"/>
    </row>
    <row r="97" ht="15.75" customHeight="1">
      <c r="E97" s="4"/>
    </row>
    <row r="98" ht="15.75" customHeight="1">
      <c r="E98" s="4"/>
    </row>
    <row r="99" ht="15.75" customHeight="1">
      <c r="E99" s="4"/>
    </row>
    <row r="100" ht="15.75" customHeight="1">
      <c r="E100" s="4"/>
    </row>
    <row r="101" ht="15.75" customHeight="1">
      <c r="E101" s="4"/>
    </row>
    <row r="102" ht="15.75" customHeight="1">
      <c r="E102" s="4"/>
    </row>
    <row r="103" ht="15.75" customHeight="1">
      <c r="E103" s="4"/>
    </row>
    <row r="104" ht="15.75" customHeight="1">
      <c r="E104" s="4"/>
    </row>
    <row r="105" ht="15.75" customHeight="1">
      <c r="E105" s="4"/>
    </row>
    <row r="106" ht="15.75" customHeight="1">
      <c r="E106" s="4"/>
    </row>
    <row r="107" ht="15.75" customHeight="1">
      <c r="E107" s="4"/>
    </row>
    <row r="108" ht="15.75" customHeight="1">
      <c r="E108" s="4"/>
    </row>
    <row r="109" ht="15.75" customHeight="1">
      <c r="E109" s="4"/>
    </row>
    <row r="110" ht="15.75" customHeight="1">
      <c r="E110" s="4"/>
    </row>
    <row r="111" ht="15.75" customHeight="1">
      <c r="E111" s="4"/>
    </row>
    <row r="112" ht="15.75" customHeight="1">
      <c r="E112" s="4"/>
    </row>
    <row r="113" ht="15.75" customHeight="1">
      <c r="E113" s="4"/>
    </row>
    <row r="114" ht="15.75" customHeight="1">
      <c r="E114" s="4"/>
    </row>
    <row r="115" ht="15.75" customHeight="1">
      <c r="E115" s="4"/>
    </row>
    <row r="116" ht="15.75" customHeight="1">
      <c r="E116" s="4"/>
    </row>
    <row r="117" ht="15.75" customHeight="1">
      <c r="E117" s="4"/>
    </row>
    <row r="118" ht="15.75" customHeight="1">
      <c r="E118" s="4"/>
    </row>
    <row r="119" ht="15.75" customHeight="1">
      <c r="E119" s="4"/>
    </row>
    <row r="120" ht="15.75" customHeight="1">
      <c r="E120" s="4"/>
    </row>
    <row r="121" ht="15.75" customHeight="1">
      <c r="E121" s="4"/>
    </row>
    <row r="122" ht="15.75" customHeight="1">
      <c r="E122" s="4"/>
    </row>
    <row r="123" ht="15.75" customHeight="1">
      <c r="E123" s="4"/>
    </row>
    <row r="124" ht="15.75" customHeight="1">
      <c r="E124" s="4"/>
    </row>
    <row r="125" ht="15.75" customHeight="1">
      <c r="E125" s="4"/>
    </row>
    <row r="126" ht="15.75" customHeight="1">
      <c r="E126" s="4"/>
    </row>
    <row r="127" ht="15.75" customHeight="1">
      <c r="E127" s="4"/>
    </row>
    <row r="128" ht="15.75" customHeight="1">
      <c r="E128" s="4"/>
    </row>
    <row r="129" ht="15.75" customHeight="1">
      <c r="E129" s="4"/>
    </row>
    <row r="130" ht="15.75" customHeight="1">
      <c r="E130" s="4"/>
    </row>
    <row r="131" ht="15.75" customHeight="1">
      <c r="E131" s="4"/>
    </row>
    <row r="132" ht="15.75" customHeight="1">
      <c r="E132" s="4"/>
    </row>
    <row r="133" ht="15.75" customHeight="1">
      <c r="E133" s="4"/>
    </row>
    <row r="134" ht="15.75" customHeight="1">
      <c r="E134" s="4"/>
    </row>
    <row r="135" ht="15.75" customHeight="1">
      <c r="E135" s="4"/>
    </row>
    <row r="136" ht="15.75" customHeight="1">
      <c r="E136" s="4"/>
    </row>
    <row r="137" ht="15.75" customHeight="1">
      <c r="E137" s="4"/>
    </row>
    <row r="138" ht="15.75" customHeight="1">
      <c r="E138" s="4"/>
    </row>
    <row r="139" ht="15.75" customHeight="1">
      <c r="E139" s="4"/>
    </row>
    <row r="140" ht="15.75" customHeight="1">
      <c r="E140" s="4"/>
    </row>
    <row r="141" ht="15.75" customHeight="1">
      <c r="E141" s="4"/>
    </row>
    <row r="142" ht="15.75" customHeight="1">
      <c r="E142" s="4"/>
    </row>
    <row r="143" ht="15.75" customHeight="1">
      <c r="E143" s="4"/>
    </row>
    <row r="144" ht="15.75" customHeight="1">
      <c r="E144" s="4"/>
    </row>
    <row r="145" ht="15.75" customHeight="1">
      <c r="E145" s="4"/>
    </row>
    <row r="146" ht="15.75" customHeight="1">
      <c r="E146" s="4"/>
    </row>
    <row r="147" ht="15.75" customHeight="1">
      <c r="E147" s="4"/>
    </row>
    <row r="148" ht="15.75" customHeight="1">
      <c r="E148" s="4"/>
    </row>
    <row r="149" ht="15.75" customHeight="1">
      <c r="E149" s="4"/>
    </row>
    <row r="150" ht="15.75" customHeight="1">
      <c r="E150" s="4"/>
    </row>
    <row r="151" ht="15.75" customHeight="1">
      <c r="E151" s="4"/>
    </row>
    <row r="152" ht="15.75" customHeight="1">
      <c r="E152" s="4"/>
    </row>
    <row r="153" ht="15.75" customHeight="1">
      <c r="E153" s="4"/>
    </row>
    <row r="154" ht="15.75" customHeight="1">
      <c r="E154" s="4"/>
    </row>
    <row r="155" ht="15.75" customHeight="1">
      <c r="E155" s="4"/>
    </row>
    <row r="156" ht="15.75" customHeight="1">
      <c r="E156" s="4"/>
    </row>
    <row r="157" ht="15.75" customHeight="1">
      <c r="E157" s="4"/>
    </row>
    <row r="158" ht="15.75" customHeight="1">
      <c r="E158" s="4"/>
    </row>
    <row r="159" ht="15.75" customHeight="1">
      <c r="E159" s="4"/>
    </row>
    <row r="160" ht="15.75" customHeight="1">
      <c r="E160" s="4"/>
    </row>
    <row r="161" ht="15.75" customHeight="1">
      <c r="E161" s="4"/>
    </row>
    <row r="162" ht="15.75" customHeight="1">
      <c r="E162" s="4"/>
    </row>
    <row r="163" ht="15.75" customHeight="1">
      <c r="E163" s="4"/>
    </row>
    <row r="164" ht="15.75" customHeight="1">
      <c r="E164" s="4"/>
    </row>
    <row r="165" ht="15.75" customHeight="1">
      <c r="E165" s="4"/>
    </row>
    <row r="166" ht="15.75" customHeight="1">
      <c r="E166" s="4"/>
    </row>
    <row r="167" ht="15.75" customHeight="1">
      <c r="E167" s="4"/>
    </row>
    <row r="168" ht="15.75" customHeight="1">
      <c r="E168" s="4"/>
    </row>
    <row r="169" ht="15.75" customHeight="1">
      <c r="E169" s="4"/>
    </row>
    <row r="170" ht="15.75" customHeight="1">
      <c r="E170" s="4"/>
    </row>
    <row r="171" ht="15.75" customHeight="1">
      <c r="E171" s="4"/>
    </row>
    <row r="172" ht="15.75" customHeight="1">
      <c r="E172" s="4"/>
    </row>
    <row r="173" ht="15.75" customHeight="1">
      <c r="E173" s="4"/>
    </row>
    <row r="174" ht="15.75" customHeight="1">
      <c r="E174" s="4"/>
    </row>
    <row r="175" ht="15.75" customHeight="1">
      <c r="E175" s="4"/>
    </row>
    <row r="176" ht="15.75" customHeight="1">
      <c r="E176" s="4"/>
    </row>
    <row r="177" ht="15.75" customHeight="1">
      <c r="E177" s="4"/>
    </row>
    <row r="178" ht="15.75" customHeight="1">
      <c r="E178" s="4"/>
    </row>
    <row r="179" ht="15.75" customHeight="1">
      <c r="E179" s="4"/>
    </row>
    <row r="180" ht="15.75" customHeight="1">
      <c r="E180" s="4"/>
    </row>
    <row r="181" ht="15.75" customHeight="1">
      <c r="E181" s="4"/>
    </row>
    <row r="182" ht="15.75" customHeight="1">
      <c r="E182" s="4"/>
    </row>
    <row r="183" ht="15.75" customHeight="1">
      <c r="E183" s="4"/>
    </row>
    <row r="184" ht="15.75" customHeight="1">
      <c r="E184" s="4"/>
    </row>
    <row r="185" ht="15.75" customHeight="1">
      <c r="E185" s="4"/>
    </row>
    <row r="186" ht="15.75" customHeight="1">
      <c r="E186" s="4"/>
    </row>
    <row r="187" ht="15.75" customHeight="1">
      <c r="E187" s="4"/>
    </row>
    <row r="188" ht="15.75" customHeight="1">
      <c r="E188" s="4"/>
    </row>
    <row r="189" ht="15.75" customHeight="1">
      <c r="E189" s="4"/>
    </row>
    <row r="190" ht="15.75" customHeight="1">
      <c r="E190" s="4"/>
    </row>
    <row r="191" ht="15.75" customHeight="1">
      <c r="E191" s="4"/>
    </row>
    <row r="192" ht="15.75" customHeight="1">
      <c r="E192" s="4"/>
    </row>
    <row r="193" ht="15.75" customHeight="1">
      <c r="E193" s="4"/>
    </row>
    <row r="194" ht="15.75" customHeight="1">
      <c r="E194" s="4"/>
    </row>
    <row r="195" ht="15.75" customHeight="1">
      <c r="E195" s="4"/>
    </row>
    <row r="196" ht="15.75" customHeight="1">
      <c r="E196" s="4"/>
    </row>
    <row r="197" ht="15.75" customHeight="1">
      <c r="E197" s="4"/>
    </row>
    <row r="198" ht="15.75" customHeight="1">
      <c r="E198" s="4"/>
    </row>
    <row r="199" ht="15.75" customHeight="1">
      <c r="E199" s="4"/>
    </row>
    <row r="200" ht="15.75" customHeight="1">
      <c r="E200" s="4"/>
    </row>
    <row r="201" ht="15.75" customHeight="1">
      <c r="E201" s="4"/>
    </row>
    <row r="202" ht="15.75" customHeight="1">
      <c r="E202" s="4"/>
    </row>
    <row r="203" ht="15.75" customHeight="1">
      <c r="E203" s="4"/>
    </row>
    <row r="204" ht="15.75" customHeight="1">
      <c r="E204" s="4"/>
    </row>
    <row r="205" ht="15.75" customHeight="1">
      <c r="E205" s="4"/>
    </row>
    <row r="206" ht="15.75" customHeight="1">
      <c r="E206" s="4"/>
    </row>
    <row r="207" ht="15.75" customHeight="1">
      <c r="E207" s="4"/>
    </row>
    <row r="208" ht="15.75" customHeight="1">
      <c r="E208" s="4"/>
    </row>
    <row r="209" ht="15.75" customHeight="1">
      <c r="E209" s="4"/>
    </row>
    <row r="210" ht="15.75" customHeight="1">
      <c r="E210" s="4"/>
    </row>
    <row r="211" ht="15.75" customHeight="1">
      <c r="E211" s="4"/>
    </row>
    <row r="212" ht="15.75" customHeight="1">
      <c r="E212" s="4"/>
    </row>
    <row r="213" ht="15.75" customHeight="1">
      <c r="E213" s="4"/>
    </row>
    <row r="214" ht="15.75" customHeight="1">
      <c r="E214" s="4"/>
    </row>
    <row r="215" ht="15.75" customHeight="1">
      <c r="E215" s="4"/>
    </row>
    <row r="216" ht="15.75" customHeight="1">
      <c r="E216" s="4"/>
    </row>
    <row r="217" ht="15.75" customHeight="1">
      <c r="E217" s="4"/>
    </row>
    <row r="218" ht="15.75" customHeight="1">
      <c r="E218" s="4"/>
    </row>
    <row r="219" ht="15.75" customHeight="1">
      <c r="E219" s="4"/>
    </row>
    <row r="220" ht="15.75" customHeight="1">
      <c r="E220" s="4"/>
    </row>
    <row r="221" ht="15.75" customHeight="1">
      <c r="E221" s="4"/>
    </row>
    <row r="222" ht="15.75" customHeight="1">
      <c r="E222" s="4"/>
    </row>
    <row r="223" ht="15.75" customHeight="1">
      <c r="E223" s="4"/>
    </row>
    <row r="224" ht="15.75" customHeight="1">
      <c r="E224" s="4"/>
    </row>
    <row r="225" ht="15.75" customHeight="1">
      <c r="E225" s="4"/>
    </row>
    <row r="226" ht="15.75" customHeight="1">
      <c r="E226" s="4"/>
    </row>
    <row r="227" ht="15.75" customHeight="1">
      <c r="E227" s="4"/>
    </row>
    <row r="228" ht="15.75" customHeight="1">
      <c r="E228" s="4"/>
    </row>
    <row r="229" ht="15.75" customHeight="1">
      <c r="E229" s="4"/>
    </row>
    <row r="230" ht="15.75" customHeight="1">
      <c r="E230" s="4"/>
    </row>
    <row r="231" ht="15.75" customHeight="1">
      <c r="E231" s="4"/>
    </row>
    <row r="232" ht="15.75" customHeight="1">
      <c r="E232" s="4"/>
    </row>
    <row r="233" ht="15.75" customHeight="1">
      <c r="E233" s="4"/>
    </row>
    <row r="234" ht="15.75" customHeight="1">
      <c r="E234" s="4"/>
    </row>
    <row r="235" ht="15.75" customHeight="1">
      <c r="E235" s="4"/>
    </row>
    <row r="236" ht="15.75" customHeight="1">
      <c r="E236" s="4"/>
    </row>
    <row r="237" ht="15.75" customHeight="1">
      <c r="E237" s="4"/>
    </row>
    <row r="238" ht="15.75" customHeight="1">
      <c r="E238" s="4"/>
    </row>
    <row r="239" ht="15.75" customHeight="1">
      <c r="E239" s="4"/>
    </row>
    <row r="240" ht="15.75" customHeight="1">
      <c r="E240" s="4"/>
    </row>
    <row r="241" ht="15.75" customHeight="1">
      <c r="E241" s="4"/>
    </row>
    <row r="242" ht="15.75" customHeight="1">
      <c r="E242" s="4"/>
    </row>
    <row r="243" ht="15.75" customHeight="1">
      <c r="E243" s="4"/>
    </row>
    <row r="244" ht="15.75" customHeight="1">
      <c r="E244" s="4"/>
    </row>
    <row r="245" ht="15.75" customHeight="1">
      <c r="E245" s="4"/>
    </row>
    <row r="246" ht="15.75" customHeight="1">
      <c r="E246" s="4"/>
    </row>
    <row r="247" ht="15.75" customHeight="1">
      <c r="E247" s="4"/>
    </row>
    <row r="248" ht="15.75" customHeight="1">
      <c r="E248" s="4"/>
    </row>
    <row r="249" ht="15.75" customHeight="1">
      <c r="E249" s="4"/>
    </row>
    <row r="250" ht="15.75" customHeight="1">
      <c r="E250" s="4"/>
    </row>
    <row r="251" ht="15.75" customHeight="1">
      <c r="E251" s="4"/>
    </row>
    <row r="252" ht="15.75" customHeight="1">
      <c r="E252" s="4"/>
    </row>
    <row r="253" ht="15.75" customHeight="1">
      <c r="E253" s="4"/>
    </row>
    <row r="254" ht="15.75" customHeight="1">
      <c r="E254" s="4"/>
    </row>
    <row r="255" ht="15.75" customHeight="1">
      <c r="E255" s="4"/>
    </row>
    <row r="256" ht="15.75" customHeight="1">
      <c r="E256" s="4"/>
    </row>
    <row r="257" ht="15.75" customHeight="1">
      <c r="E257" s="4"/>
    </row>
    <row r="258" ht="15.75" customHeight="1">
      <c r="E258" s="4"/>
    </row>
    <row r="259" ht="15.75" customHeight="1">
      <c r="E259" s="4"/>
    </row>
    <row r="260" ht="15.75" customHeight="1">
      <c r="E260" s="4"/>
    </row>
    <row r="261" ht="15.75" customHeight="1">
      <c r="E261" s="4"/>
    </row>
    <row r="262" ht="15.75" customHeight="1">
      <c r="E262" s="4"/>
    </row>
    <row r="263" ht="15.75" customHeight="1">
      <c r="E263" s="4"/>
    </row>
    <row r="264" ht="15.75" customHeight="1">
      <c r="E264" s="4"/>
    </row>
    <row r="265" ht="15.75" customHeight="1">
      <c r="E265" s="4"/>
    </row>
    <row r="266" ht="15.75" customHeight="1">
      <c r="E266" s="4"/>
    </row>
    <row r="267" ht="15.75" customHeight="1">
      <c r="E267" s="4"/>
    </row>
    <row r="268" ht="15.75" customHeight="1">
      <c r="E268" s="4"/>
    </row>
    <row r="269" ht="15.75" customHeight="1">
      <c r="E269" s="4"/>
    </row>
    <row r="270" ht="15.75" customHeight="1">
      <c r="E270" s="4"/>
    </row>
    <row r="271" ht="15.75" customHeight="1">
      <c r="E271" s="4"/>
    </row>
    <row r="272" ht="15.75" customHeight="1">
      <c r="E272" s="4"/>
    </row>
    <row r="273" ht="15.75" customHeight="1">
      <c r="E273" s="4"/>
    </row>
    <row r="274" ht="15.75" customHeight="1">
      <c r="E274" s="4"/>
    </row>
    <row r="275" ht="15.75" customHeight="1">
      <c r="E275" s="4"/>
    </row>
    <row r="276" ht="15.75" customHeight="1">
      <c r="E276" s="4"/>
    </row>
    <row r="277" ht="15.75" customHeight="1">
      <c r="E277" s="4"/>
    </row>
    <row r="278" ht="15.75" customHeight="1">
      <c r="E278" s="4"/>
    </row>
    <row r="279" ht="15.75" customHeight="1">
      <c r="E279" s="4"/>
    </row>
    <row r="280" ht="15.75" customHeight="1">
      <c r="E280" s="4"/>
    </row>
    <row r="281" ht="15.75" customHeight="1">
      <c r="E281" s="4"/>
    </row>
    <row r="282" ht="15.75" customHeight="1">
      <c r="E282" s="4"/>
    </row>
    <row r="283" ht="15.75" customHeight="1">
      <c r="E283" s="4"/>
    </row>
    <row r="284" ht="15.75" customHeight="1">
      <c r="E284" s="4"/>
    </row>
    <row r="285" ht="15.75" customHeight="1">
      <c r="E285" s="4"/>
    </row>
    <row r="286" ht="15.75" customHeight="1">
      <c r="E286" s="4"/>
    </row>
    <row r="287" ht="15.75" customHeight="1">
      <c r="E287" s="4"/>
    </row>
    <row r="288" ht="15.75" customHeight="1">
      <c r="E288" s="4"/>
    </row>
    <row r="289" ht="15.75" customHeight="1">
      <c r="E289" s="4"/>
    </row>
    <row r="290" ht="15.75" customHeight="1">
      <c r="E290" s="4"/>
    </row>
    <row r="291" ht="15.75" customHeight="1">
      <c r="E291" s="4"/>
    </row>
    <row r="292" ht="15.75" customHeight="1">
      <c r="E292" s="4"/>
    </row>
    <row r="293" ht="15.75" customHeight="1">
      <c r="E293" s="4"/>
    </row>
    <row r="294" ht="15.75" customHeight="1">
      <c r="E294" s="4"/>
    </row>
    <row r="295" ht="15.75" customHeight="1">
      <c r="E295" s="4"/>
    </row>
    <row r="296" ht="15.75" customHeight="1">
      <c r="E296" s="4"/>
    </row>
    <row r="297" ht="15.75" customHeight="1">
      <c r="E297" s="4"/>
    </row>
    <row r="298" ht="15.75" customHeight="1">
      <c r="E298" s="4"/>
    </row>
    <row r="299" ht="15.75" customHeight="1">
      <c r="E299" s="4"/>
    </row>
    <row r="300" ht="15.75" customHeight="1">
      <c r="E300" s="4"/>
    </row>
    <row r="301" ht="15.75" customHeight="1">
      <c r="E301" s="4"/>
    </row>
    <row r="302" ht="15.75" customHeight="1">
      <c r="E302" s="4"/>
    </row>
    <row r="303" ht="15.75" customHeight="1">
      <c r="E303" s="4"/>
    </row>
    <row r="304" ht="15.75" customHeight="1">
      <c r="E304" s="4"/>
    </row>
    <row r="305" ht="15.75" customHeight="1">
      <c r="E305" s="4"/>
    </row>
    <row r="306" ht="15.75" customHeight="1">
      <c r="E306" s="4"/>
    </row>
    <row r="307" ht="15.75" customHeight="1">
      <c r="E307" s="4"/>
    </row>
    <row r="308" ht="15.75" customHeight="1">
      <c r="E308" s="4"/>
    </row>
    <row r="309" ht="15.75" customHeight="1">
      <c r="E309" s="4"/>
    </row>
    <row r="310" ht="15.75" customHeight="1">
      <c r="E310" s="4"/>
    </row>
    <row r="311" ht="15.75" customHeight="1">
      <c r="E311" s="4"/>
    </row>
    <row r="312" ht="15.75" customHeight="1">
      <c r="E312" s="4"/>
    </row>
    <row r="313" ht="15.75" customHeight="1">
      <c r="E313" s="4"/>
    </row>
    <row r="314" ht="15.75" customHeight="1">
      <c r="E314" s="4"/>
    </row>
    <row r="315" ht="15.75" customHeight="1">
      <c r="E315" s="4"/>
    </row>
    <row r="316" ht="15.75" customHeight="1">
      <c r="E316" s="4"/>
    </row>
    <row r="317" ht="15.75" customHeight="1">
      <c r="E317" s="4"/>
    </row>
    <row r="318" ht="15.75" customHeight="1">
      <c r="E318" s="4"/>
    </row>
    <row r="319" ht="15.75" customHeight="1">
      <c r="E319" s="4"/>
    </row>
    <row r="320" ht="15.75" customHeight="1">
      <c r="E320" s="4"/>
    </row>
    <row r="321" ht="15.75" customHeight="1">
      <c r="E321" s="4"/>
    </row>
    <row r="322" ht="15.75" customHeight="1">
      <c r="E322" s="4"/>
    </row>
    <row r="323" ht="15.75" customHeight="1">
      <c r="E323" s="4"/>
    </row>
    <row r="324" ht="15.75" customHeight="1">
      <c r="E324" s="4"/>
    </row>
    <row r="325" ht="15.75" customHeight="1">
      <c r="E325" s="4"/>
    </row>
    <row r="326" ht="15.75" customHeight="1">
      <c r="E326" s="4"/>
    </row>
    <row r="327" ht="15.75" customHeight="1">
      <c r="E327" s="4"/>
    </row>
    <row r="328" ht="15.75" customHeight="1">
      <c r="E328" s="4"/>
    </row>
    <row r="329" ht="15.75" customHeight="1">
      <c r="E329" s="4"/>
    </row>
    <row r="330" ht="15.75" customHeight="1">
      <c r="E330" s="4"/>
    </row>
    <row r="331" ht="15.75" customHeight="1">
      <c r="E331" s="4"/>
    </row>
    <row r="332" ht="15.75" customHeight="1">
      <c r="E332" s="4"/>
    </row>
    <row r="333" ht="15.75" customHeight="1">
      <c r="E333" s="4"/>
    </row>
    <row r="334" ht="15.75" customHeight="1">
      <c r="E334" s="4"/>
    </row>
    <row r="335" ht="15.75" customHeight="1">
      <c r="E335" s="4"/>
    </row>
    <row r="336" ht="15.75" customHeight="1">
      <c r="E336" s="4"/>
    </row>
    <row r="337" ht="15.75" customHeight="1">
      <c r="E337" s="4"/>
    </row>
    <row r="338" ht="15.75" customHeight="1">
      <c r="E338" s="4"/>
    </row>
    <row r="339" ht="15.75" customHeight="1">
      <c r="E339" s="4"/>
    </row>
    <row r="340" ht="15.75" customHeight="1">
      <c r="E340" s="4"/>
    </row>
    <row r="341" ht="15.75" customHeight="1">
      <c r="E341" s="4"/>
    </row>
    <row r="342" ht="15.75" customHeight="1">
      <c r="E342" s="4"/>
    </row>
    <row r="343" ht="15.75" customHeight="1">
      <c r="E343" s="4"/>
    </row>
    <row r="344" ht="15.75" customHeight="1">
      <c r="E344" s="4"/>
    </row>
    <row r="345" ht="15.75" customHeight="1">
      <c r="E345" s="4"/>
    </row>
    <row r="346" ht="15.75" customHeight="1">
      <c r="E346" s="4"/>
    </row>
    <row r="347" ht="15.75" customHeight="1">
      <c r="E347" s="4"/>
    </row>
    <row r="348" ht="15.75" customHeight="1">
      <c r="E348" s="4"/>
    </row>
    <row r="349" ht="15.75" customHeight="1">
      <c r="E349" s="4"/>
    </row>
    <row r="350" ht="15.75" customHeight="1">
      <c r="E350" s="4"/>
    </row>
    <row r="351" ht="15.75" customHeight="1">
      <c r="E351" s="4"/>
    </row>
    <row r="352" ht="15.75" customHeight="1">
      <c r="E352" s="4"/>
    </row>
    <row r="353" ht="15.75" customHeight="1">
      <c r="E353" s="4"/>
    </row>
    <row r="354" ht="15.75" customHeight="1">
      <c r="E354" s="4"/>
    </row>
    <row r="355" ht="15.75" customHeight="1">
      <c r="E355" s="4"/>
    </row>
    <row r="356" ht="15.75" customHeight="1">
      <c r="E356" s="4"/>
    </row>
    <row r="357" ht="15.75" customHeight="1">
      <c r="E357" s="4"/>
    </row>
    <row r="358" ht="15.75" customHeight="1">
      <c r="E358" s="4"/>
    </row>
    <row r="359" ht="15.75" customHeight="1">
      <c r="E359" s="4"/>
    </row>
    <row r="360" ht="15.75" customHeight="1">
      <c r="E360" s="4"/>
    </row>
    <row r="361" ht="15.75" customHeight="1">
      <c r="E361" s="4"/>
    </row>
    <row r="362" ht="15.75" customHeight="1">
      <c r="E362" s="4"/>
    </row>
    <row r="363" ht="15.75" customHeight="1">
      <c r="E363" s="4"/>
    </row>
    <row r="364" ht="15.75" customHeight="1">
      <c r="E364" s="4"/>
    </row>
    <row r="365" ht="15.75" customHeight="1">
      <c r="E365" s="4"/>
    </row>
    <row r="366" ht="15.75" customHeight="1">
      <c r="E366" s="4"/>
    </row>
    <row r="367" ht="15.75" customHeight="1">
      <c r="E367" s="4"/>
    </row>
    <row r="368" ht="15.75" customHeight="1">
      <c r="E368" s="4"/>
    </row>
    <row r="369" ht="15.75" customHeight="1">
      <c r="E369" s="4"/>
    </row>
    <row r="370" ht="15.75" customHeight="1">
      <c r="E370" s="4"/>
    </row>
    <row r="371" ht="15.75" customHeight="1">
      <c r="E371" s="4"/>
    </row>
    <row r="372" ht="15.75" customHeight="1">
      <c r="E372" s="4"/>
    </row>
    <row r="373" ht="15.75" customHeight="1">
      <c r="E373" s="4"/>
    </row>
    <row r="374" ht="15.75" customHeight="1">
      <c r="E374" s="4"/>
    </row>
    <row r="375" ht="15.75" customHeight="1">
      <c r="E375" s="4"/>
    </row>
    <row r="376" ht="15.75" customHeight="1">
      <c r="E376" s="4"/>
    </row>
    <row r="377" ht="15.75" customHeight="1">
      <c r="E377" s="4"/>
    </row>
    <row r="378" ht="15.75" customHeight="1">
      <c r="E378" s="4"/>
    </row>
    <row r="379" ht="15.75" customHeight="1">
      <c r="E379" s="4"/>
    </row>
    <row r="380" ht="15.75" customHeight="1">
      <c r="E380" s="4"/>
    </row>
    <row r="381" ht="15.75" customHeight="1">
      <c r="E381" s="4"/>
    </row>
    <row r="382" ht="15.75" customHeight="1">
      <c r="E382" s="4"/>
    </row>
    <row r="383" ht="15.75" customHeight="1">
      <c r="E383" s="4"/>
    </row>
    <row r="384" ht="15.75" customHeight="1">
      <c r="E384" s="4"/>
    </row>
    <row r="385" ht="15.75" customHeight="1">
      <c r="E385" s="4"/>
    </row>
    <row r="386" ht="15.75" customHeight="1">
      <c r="E386" s="4"/>
    </row>
    <row r="387" ht="15.75" customHeight="1">
      <c r="E387" s="4"/>
    </row>
    <row r="388" ht="15.75" customHeight="1">
      <c r="E388" s="4"/>
    </row>
    <row r="389" ht="15.75" customHeight="1">
      <c r="E389" s="4"/>
    </row>
    <row r="390" ht="15.75" customHeight="1">
      <c r="E390" s="4"/>
    </row>
    <row r="391" ht="15.75" customHeight="1">
      <c r="E391" s="4"/>
    </row>
    <row r="392" ht="15.75" customHeight="1">
      <c r="E392" s="4"/>
    </row>
    <row r="393" ht="15.75" customHeight="1">
      <c r="E393" s="4"/>
    </row>
    <row r="394" ht="15.75" customHeight="1">
      <c r="E394" s="4"/>
    </row>
    <row r="395" ht="15.75" customHeight="1">
      <c r="E395" s="4"/>
    </row>
    <row r="396" ht="15.75" customHeight="1">
      <c r="E396" s="4"/>
    </row>
    <row r="397" ht="15.75" customHeight="1">
      <c r="E397" s="4"/>
    </row>
    <row r="398" ht="15.75" customHeight="1">
      <c r="E398" s="4"/>
    </row>
    <row r="399" ht="15.75" customHeight="1">
      <c r="E399" s="4"/>
    </row>
    <row r="400" ht="15.75" customHeight="1">
      <c r="E400" s="4"/>
    </row>
    <row r="401" ht="15.75" customHeight="1">
      <c r="E401" s="4"/>
    </row>
    <row r="402" ht="15.75" customHeight="1">
      <c r="E402" s="4"/>
    </row>
    <row r="403" ht="15.75" customHeight="1">
      <c r="E403" s="4"/>
    </row>
    <row r="404" ht="15.75" customHeight="1">
      <c r="E404" s="4"/>
    </row>
    <row r="405" ht="15.75" customHeight="1">
      <c r="E405" s="4"/>
    </row>
    <row r="406" ht="15.75" customHeight="1">
      <c r="E406" s="4"/>
    </row>
    <row r="407" ht="15.75" customHeight="1">
      <c r="E407" s="4"/>
    </row>
    <row r="408" ht="15.75" customHeight="1">
      <c r="E408" s="4"/>
    </row>
    <row r="409" ht="15.75" customHeight="1">
      <c r="E409" s="4"/>
    </row>
    <row r="410" ht="15.75" customHeight="1">
      <c r="E410" s="4"/>
    </row>
    <row r="411" ht="15.75" customHeight="1">
      <c r="E411" s="4"/>
    </row>
    <row r="412" ht="15.75" customHeight="1">
      <c r="E412" s="4"/>
    </row>
    <row r="413" ht="15.75" customHeight="1">
      <c r="E413" s="4"/>
    </row>
    <row r="414" ht="15.75" customHeight="1">
      <c r="E414" s="4"/>
    </row>
    <row r="415" ht="15.75" customHeight="1">
      <c r="E415" s="4"/>
    </row>
    <row r="416" ht="15.75" customHeight="1">
      <c r="E416" s="4"/>
    </row>
    <row r="417" ht="15.75" customHeight="1">
      <c r="E417" s="4"/>
    </row>
    <row r="418" ht="15.75" customHeight="1">
      <c r="E418" s="4"/>
    </row>
    <row r="419" ht="15.75" customHeight="1">
      <c r="E419" s="4"/>
    </row>
    <row r="420" ht="15.75" customHeight="1">
      <c r="E420" s="4"/>
    </row>
    <row r="421" ht="15.75" customHeight="1">
      <c r="E421" s="4"/>
    </row>
    <row r="422" ht="15.75" customHeight="1">
      <c r="E422" s="4"/>
    </row>
    <row r="423" ht="15.75" customHeight="1">
      <c r="E423" s="4"/>
    </row>
    <row r="424" ht="15.75" customHeight="1">
      <c r="E424" s="4"/>
    </row>
    <row r="425" ht="15.75" customHeight="1">
      <c r="E425" s="4"/>
    </row>
    <row r="426" ht="15.75" customHeight="1">
      <c r="E426" s="4"/>
    </row>
    <row r="427" ht="15.75" customHeight="1">
      <c r="E427" s="4"/>
    </row>
    <row r="428" ht="15.75" customHeight="1">
      <c r="E428" s="4"/>
    </row>
    <row r="429" ht="15.75" customHeight="1">
      <c r="E429" s="4"/>
    </row>
    <row r="430" ht="15.75" customHeight="1">
      <c r="E430" s="4"/>
    </row>
    <row r="431" ht="15.75" customHeight="1">
      <c r="E431" s="4"/>
    </row>
    <row r="432" ht="15.75" customHeight="1">
      <c r="E432" s="4"/>
    </row>
    <row r="433" ht="15.75" customHeight="1">
      <c r="E433" s="4"/>
    </row>
    <row r="434" ht="15.75" customHeight="1">
      <c r="E434" s="4"/>
    </row>
    <row r="435" ht="15.75" customHeight="1">
      <c r="E435" s="4"/>
    </row>
    <row r="436" ht="15.75" customHeight="1">
      <c r="E436" s="4"/>
    </row>
    <row r="437" ht="15.75" customHeight="1">
      <c r="E437" s="4"/>
    </row>
    <row r="438" ht="15.75" customHeight="1">
      <c r="E438" s="4"/>
    </row>
    <row r="439" ht="15.75" customHeight="1">
      <c r="E439" s="4"/>
    </row>
    <row r="440" ht="15.75" customHeight="1">
      <c r="E440" s="4"/>
    </row>
    <row r="441" ht="15.75" customHeight="1">
      <c r="E441" s="4"/>
    </row>
    <row r="442" ht="15.75" customHeight="1">
      <c r="E442" s="4"/>
    </row>
    <row r="443" ht="15.75" customHeight="1">
      <c r="E443" s="4"/>
    </row>
    <row r="444" ht="15.75" customHeight="1">
      <c r="E444" s="4"/>
    </row>
    <row r="445" ht="15.75" customHeight="1">
      <c r="E445" s="4"/>
    </row>
    <row r="446" ht="15.75" customHeight="1">
      <c r="E446" s="4"/>
    </row>
    <row r="447" ht="15.75" customHeight="1">
      <c r="E447" s="4"/>
    </row>
    <row r="448" ht="15.75" customHeight="1">
      <c r="E448" s="4"/>
    </row>
    <row r="449" ht="15.75" customHeight="1">
      <c r="E449" s="4"/>
    </row>
    <row r="450" ht="15.75" customHeight="1">
      <c r="E450" s="4"/>
    </row>
    <row r="451" ht="15.75" customHeight="1">
      <c r="E451" s="4"/>
    </row>
    <row r="452" ht="15.75" customHeight="1">
      <c r="E452" s="4"/>
    </row>
    <row r="453" ht="15.75" customHeight="1">
      <c r="E453" s="4"/>
    </row>
    <row r="454" ht="15.75" customHeight="1">
      <c r="E454" s="4"/>
    </row>
    <row r="455" ht="15.75" customHeight="1">
      <c r="E455" s="4"/>
    </row>
    <row r="456" ht="15.75" customHeight="1">
      <c r="E456" s="4"/>
    </row>
    <row r="457" ht="15.75" customHeight="1">
      <c r="E457" s="4"/>
    </row>
    <row r="458" ht="15.75" customHeight="1">
      <c r="E458" s="4"/>
    </row>
    <row r="459" ht="15.75" customHeight="1">
      <c r="E459" s="4"/>
    </row>
    <row r="460" ht="15.75" customHeight="1">
      <c r="E460" s="4"/>
    </row>
    <row r="461" ht="15.75" customHeight="1">
      <c r="E461" s="4"/>
    </row>
    <row r="462" ht="15.75" customHeight="1">
      <c r="E462" s="4"/>
    </row>
    <row r="463" ht="15.75" customHeight="1">
      <c r="E463" s="4"/>
    </row>
    <row r="464" ht="15.75" customHeight="1">
      <c r="E464" s="4"/>
    </row>
    <row r="465" ht="15.75" customHeight="1">
      <c r="E465" s="4"/>
    </row>
    <row r="466" ht="15.75" customHeight="1">
      <c r="E466" s="4"/>
    </row>
    <row r="467" ht="15.75" customHeight="1">
      <c r="E467" s="4"/>
    </row>
    <row r="468" ht="15.75" customHeight="1">
      <c r="E468" s="4"/>
    </row>
    <row r="469" ht="15.75" customHeight="1">
      <c r="E469" s="4"/>
    </row>
    <row r="470" ht="15.75" customHeight="1">
      <c r="E470" s="4"/>
    </row>
    <row r="471" ht="15.75" customHeight="1">
      <c r="E471" s="4"/>
    </row>
    <row r="472" ht="15.75" customHeight="1">
      <c r="E472" s="4"/>
    </row>
    <row r="473" ht="15.75" customHeight="1">
      <c r="E473" s="4"/>
    </row>
    <row r="474" ht="15.75" customHeight="1">
      <c r="E474" s="4"/>
    </row>
    <row r="475" ht="15.75" customHeight="1">
      <c r="E475" s="4"/>
    </row>
    <row r="476" ht="15.75" customHeight="1">
      <c r="E476" s="4"/>
    </row>
    <row r="477" ht="15.75" customHeight="1">
      <c r="E477" s="4"/>
    </row>
    <row r="478" ht="15.75" customHeight="1">
      <c r="E478" s="4"/>
    </row>
    <row r="479" ht="15.75" customHeight="1">
      <c r="E479" s="4"/>
    </row>
    <row r="480" ht="15.75" customHeight="1">
      <c r="E480" s="4"/>
    </row>
    <row r="481" ht="15.75" customHeight="1">
      <c r="E481" s="4"/>
    </row>
    <row r="482" ht="15.75" customHeight="1">
      <c r="E482" s="4"/>
    </row>
    <row r="483" ht="15.75" customHeight="1">
      <c r="E483" s="4"/>
    </row>
    <row r="484" ht="15.75" customHeight="1">
      <c r="E484" s="4"/>
    </row>
    <row r="485" ht="15.75" customHeight="1">
      <c r="E485" s="4"/>
    </row>
    <row r="486" ht="15.75" customHeight="1">
      <c r="E486" s="4"/>
    </row>
    <row r="487" ht="15.75" customHeight="1">
      <c r="E487" s="4"/>
    </row>
    <row r="488" ht="15.75" customHeight="1">
      <c r="E488" s="4"/>
    </row>
    <row r="489" ht="15.75" customHeight="1">
      <c r="E489" s="4"/>
    </row>
    <row r="490" ht="15.75" customHeight="1">
      <c r="E490" s="4"/>
    </row>
    <row r="491" ht="15.75" customHeight="1">
      <c r="E491" s="4"/>
    </row>
    <row r="492" ht="15.75" customHeight="1">
      <c r="E492" s="4"/>
    </row>
    <row r="493" ht="15.75" customHeight="1">
      <c r="E493" s="4"/>
    </row>
    <row r="494" ht="15.75" customHeight="1">
      <c r="E494" s="4"/>
    </row>
    <row r="495" ht="15.75" customHeight="1">
      <c r="E495" s="4"/>
    </row>
    <row r="496" ht="15.75" customHeight="1">
      <c r="E496" s="4"/>
    </row>
    <row r="497" ht="15.75" customHeight="1">
      <c r="E497" s="4"/>
    </row>
    <row r="498" ht="15.75" customHeight="1">
      <c r="E498" s="4"/>
    </row>
    <row r="499" ht="15.75" customHeight="1">
      <c r="E499" s="4"/>
    </row>
    <row r="500" ht="15.75" customHeight="1">
      <c r="E500" s="4"/>
    </row>
    <row r="501" ht="15.75" customHeight="1">
      <c r="E501" s="4"/>
    </row>
    <row r="502" ht="15.75" customHeight="1">
      <c r="E502" s="4"/>
    </row>
    <row r="503" ht="15.75" customHeight="1">
      <c r="E503" s="4"/>
    </row>
    <row r="504" ht="15.75" customHeight="1">
      <c r="E504" s="4"/>
    </row>
    <row r="505" ht="15.75" customHeight="1">
      <c r="E505" s="4"/>
    </row>
    <row r="506" ht="15.75" customHeight="1">
      <c r="E506" s="4"/>
    </row>
    <row r="507" ht="15.75" customHeight="1">
      <c r="E507" s="4"/>
    </row>
    <row r="508" ht="15.75" customHeight="1">
      <c r="E508" s="4"/>
    </row>
    <row r="509" ht="15.75" customHeight="1">
      <c r="E509" s="4"/>
    </row>
    <row r="510" ht="15.75" customHeight="1">
      <c r="E510" s="4"/>
    </row>
    <row r="511" ht="15.75" customHeight="1">
      <c r="E511" s="4"/>
    </row>
    <row r="512" ht="15.75" customHeight="1">
      <c r="E512" s="4"/>
    </row>
    <row r="513" ht="15.75" customHeight="1">
      <c r="E513" s="4"/>
    </row>
    <row r="514" ht="15.75" customHeight="1">
      <c r="E514" s="4"/>
    </row>
    <row r="515" ht="15.75" customHeight="1">
      <c r="E515" s="4"/>
    </row>
    <row r="516" ht="15.75" customHeight="1">
      <c r="E516" s="4"/>
    </row>
    <row r="517" ht="15.75" customHeight="1">
      <c r="E517" s="4"/>
    </row>
    <row r="518" ht="15.75" customHeight="1">
      <c r="E518" s="4"/>
    </row>
    <row r="519" ht="15.75" customHeight="1">
      <c r="E519" s="4"/>
    </row>
    <row r="520" ht="15.75" customHeight="1">
      <c r="E520" s="4"/>
    </row>
    <row r="521" ht="15.75" customHeight="1">
      <c r="E521" s="4"/>
    </row>
    <row r="522" ht="15.75" customHeight="1">
      <c r="E522" s="4"/>
    </row>
    <row r="523" ht="15.75" customHeight="1">
      <c r="E523" s="4"/>
    </row>
    <row r="524" ht="15.75" customHeight="1">
      <c r="E524" s="4"/>
    </row>
    <row r="525" ht="15.75" customHeight="1">
      <c r="E525" s="4"/>
    </row>
    <row r="526" ht="15.75" customHeight="1">
      <c r="E526" s="4"/>
    </row>
    <row r="527" ht="15.75" customHeight="1">
      <c r="E527" s="4"/>
    </row>
    <row r="528" ht="15.75" customHeight="1">
      <c r="E528" s="4"/>
    </row>
    <row r="529" ht="15.75" customHeight="1">
      <c r="E529" s="4"/>
    </row>
    <row r="530" ht="15.75" customHeight="1">
      <c r="E530" s="4"/>
    </row>
    <row r="531" ht="15.75" customHeight="1">
      <c r="E531" s="4"/>
    </row>
    <row r="532" ht="15.75" customHeight="1">
      <c r="E532" s="4"/>
    </row>
    <row r="533" ht="15.75" customHeight="1">
      <c r="E533" s="4"/>
    </row>
    <row r="534" ht="15.75" customHeight="1">
      <c r="E534" s="4"/>
    </row>
    <row r="535" ht="15.75" customHeight="1">
      <c r="E535" s="4"/>
    </row>
    <row r="536" ht="15.75" customHeight="1">
      <c r="E536" s="4"/>
    </row>
    <row r="537" ht="15.75" customHeight="1">
      <c r="E537" s="4"/>
    </row>
    <row r="538" ht="15.75" customHeight="1">
      <c r="E538" s="4"/>
    </row>
    <row r="539" ht="15.75" customHeight="1">
      <c r="E539" s="4"/>
    </row>
    <row r="540" ht="15.75" customHeight="1">
      <c r="E540" s="4"/>
    </row>
    <row r="541" ht="15.75" customHeight="1">
      <c r="E541" s="4"/>
    </row>
    <row r="542" ht="15.75" customHeight="1">
      <c r="E542" s="4"/>
    </row>
    <row r="543" ht="15.75" customHeight="1">
      <c r="E543" s="4"/>
    </row>
    <row r="544" ht="15.75" customHeight="1">
      <c r="E544" s="4"/>
    </row>
    <row r="545" ht="15.75" customHeight="1">
      <c r="E545" s="4"/>
    </row>
    <row r="546" ht="15.75" customHeight="1">
      <c r="E546" s="4"/>
    </row>
    <row r="547" ht="15.75" customHeight="1">
      <c r="E547" s="4"/>
    </row>
    <row r="548" ht="15.75" customHeight="1">
      <c r="E548" s="4"/>
    </row>
    <row r="549" ht="15.75" customHeight="1">
      <c r="E549" s="4"/>
    </row>
    <row r="550" ht="15.75" customHeight="1">
      <c r="E550" s="4"/>
    </row>
    <row r="551" ht="15.75" customHeight="1">
      <c r="E551" s="4"/>
    </row>
    <row r="552" ht="15.75" customHeight="1">
      <c r="E552" s="4"/>
    </row>
    <row r="553" ht="15.75" customHeight="1">
      <c r="E553" s="4"/>
    </row>
    <row r="554" ht="15.75" customHeight="1">
      <c r="E554" s="4"/>
    </row>
    <row r="555" ht="15.75" customHeight="1">
      <c r="E555" s="4"/>
    </row>
    <row r="556" ht="15.75" customHeight="1">
      <c r="E556" s="4"/>
    </row>
    <row r="557" ht="15.75" customHeight="1">
      <c r="E557" s="4"/>
    </row>
    <row r="558" ht="15.75" customHeight="1">
      <c r="E558" s="4"/>
    </row>
    <row r="559" ht="15.75" customHeight="1">
      <c r="E559" s="4"/>
    </row>
    <row r="560" ht="15.75" customHeight="1">
      <c r="E560" s="4"/>
    </row>
    <row r="561" ht="15.75" customHeight="1">
      <c r="E561" s="4"/>
    </row>
    <row r="562" ht="15.75" customHeight="1">
      <c r="E562" s="4"/>
    </row>
    <row r="563" ht="15.75" customHeight="1">
      <c r="E563" s="4"/>
    </row>
    <row r="564" ht="15.75" customHeight="1">
      <c r="E564" s="4"/>
    </row>
    <row r="565" ht="15.75" customHeight="1">
      <c r="E565" s="4"/>
    </row>
    <row r="566" ht="15.75" customHeight="1">
      <c r="E566" s="4"/>
    </row>
    <row r="567" ht="15.75" customHeight="1">
      <c r="E567" s="4"/>
    </row>
    <row r="568" ht="15.75" customHeight="1">
      <c r="E568" s="4"/>
    </row>
    <row r="569" ht="15.75" customHeight="1">
      <c r="E569" s="4"/>
    </row>
    <row r="570" ht="15.75" customHeight="1">
      <c r="E570" s="4"/>
    </row>
    <row r="571" ht="15.75" customHeight="1">
      <c r="E571" s="4"/>
    </row>
    <row r="572" ht="15.75" customHeight="1">
      <c r="E572" s="4"/>
    </row>
    <row r="573" ht="15.75" customHeight="1">
      <c r="E573" s="4"/>
    </row>
    <row r="574" ht="15.75" customHeight="1">
      <c r="E574" s="4"/>
    </row>
    <row r="575" ht="15.75" customHeight="1">
      <c r="E575" s="4"/>
    </row>
    <row r="576" ht="15.75" customHeight="1">
      <c r="E576" s="4"/>
    </row>
    <row r="577" ht="15.75" customHeight="1">
      <c r="E577" s="4"/>
    </row>
    <row r="578" ht="15.75" customHeight="1">
      <c r="E578" s="4"/>
    </row>
    <row r="579" ht="15.75" customHeight="1">
      <c r="E579" s="4"/>
    </row>
    <row r="580" ht="15.75" customHeight="1">
      <c r="E580" s="4"/>
    </row>
    <row r="581" ht="15.75" customHeight="1">
      <c r="E581" s="4"/>
    </row>
    <row r="582" ht="15.75" customHeight="1">
      <c r="E582" s="4"/>
    </row>
    <row r="583" ht="15.75" customHeight="1">
      <c r="E583" s="4"/>
    </row>
    <row r="584" ht="15.75" customHeight="1">
      <c r="E584" s="4"/>
    </row>
    <row r="585" ht="15.75" customHeight="1">
      <c r="E585" s="4"/>
    </row>
    <row r="586" ht="15.75" customHeight="1">
      <c r="E586" s="4"/>
    </row>
    <row r="587" ht="15.75" customHeight="1">
      <c r="E587" s="4"/>
    </row>
    <row r="588" ht="15.75" customHeight="1">
      <c r="E588" s="4"/>
    </row>
    <row r="589" ht="15.75" customHeight="1">
      <c r="E589" s="4"/>
    </row>
    <row r="590" ht="15.75" customHeight="1">
      <c r="E590" s="4"/>
    </row>
    <row r="591" ht="15.75" customHeight="1">
      <c r="E591" s="4"/>
    </row>
    <row r="592" ht="15.75" customHeight="1">
      <c r="E592" s="4"/>
    </row>
    <row r="593" ht="15.75" customHeight="1">
      <c r="E593" s="4"/>
    </row>
    <row r="594" ht="15.75" customHeight="1">
      <c r="E594" s="4"/>
    </row>
    <row r="595" ht="15.75" customHeight="1">
      <c r="E595" s="4"/>
    </row>
    <row r="596" ht="15.75" customHeight="1">
      <c r="E596" s="4"/>
    </row>
    <row r="597" ht="15.75" customHeight="1">
      <c r="E597" s="4"/>
    </row>
    <row r="598" ht="15.75" customHeight="1">
      <c r="E598" s="4"/>
    </row>
    <row r="599" ht="15.75" customHeight="1">
      <c r="E599" s="4"/>
    </row>
    <row r="600" ht="15.75" customHeight="1">
      <c r="E600" s="4"/>
    </row>
    <row r="601" ht="15.75" customHeight="1">
      <c r="E601" s="4"/>
    </row>
    <row r="602" ht="15.75" customHeight="1">
      <c r="E602" s="4"/>
    </row>
    <row r="603" ht="15.75" customHeight="1">
      <c r="E603" s="4"/>
    </row>
    <row r="604" ht="15.75" customHeight="1">
      <c r="E604" s="4"/>
    </row>
    <row r="605" ht="15.75" customHeight="1">
      <c r="E605" s="4"/>
    </row>
    <row r="606" ht="15.75" customHeight="1">
      <c r="E606" s="4"/>
    </row>
    <row r="607" ht="15.75" customHeight="1">
      <c r="E607" s="4"/>
    </row>
    <row r="608" ht="15.75" customHeight="1">
      <c r="E608" s="4"/>
    </row>
    <row r="609" ht="15.75" customHeight="1">
      <c r="E609" s="4"/>
    </row>
    <row r="610" ht="15.75" customHeight="1">
      <c r="E610" s="4"/>
    </row>
    <row r="611" ht="15.75" customHeight="1">
      <c r="E611" s="4"/>
    </row>
    <row r="612" ht="15.75" customHeight="1">
      <c r="E612" s="4"/>
    </row>
    <row r="613" ht="15.75" customHeight="1">
      <c r="E613" s="4"/>
    </row>
    <row r="614" ht="15.75" customHeight="1">
      <c r="E614" s="4"/>
    </row>
    <row r="615" ht="15.75" customHeight="1">
      <c r="E615" s="4"/>
    </row>
    <row r="616" ht="15.75" customHeight="1">
      <c r="E616" s="4"/>
    </row>
    <row r="617" ht="15.75" customHeight="1">
      <c r="E617" s="4"/>
    </row>
    <row r="618" ht="15.75" customHeight="1">
      <c r="E618" s="4"/>
    </row>
    <row r="619" ht="15.75" customHeight="1">
      <c r="E619" s="4"/>
    </row>
    <row r="620" ht="15.75" customHeight="1">
      <c r="E620" s="4"/>
    </row>
    <row r="621" ht="15.75" customHeight="1">
      <c r="E621" s="4"/>
    </row>
    <row r="622" ht="15.75" customHeight="1">
      <c r="E622" s="4"/>
    </row>
    <row r="623" ht="15.75" customHeight="1">
      <c r="E623" s="4"/>
    </row>
    <row r="624" ht="15.75" customHeight="1">
      <c r="E624" s="4"/>
    </row>
    <row r="625" ht="15.75" customHeight="1">
      <c r="E625" s="4"/>
    </row>
    <row r="626" ht="15.75" customHeight="1">
      <c r="E626" s="4"/>
    </row>
    <row r="627" ht="15.75" customHeight="1">
      <c r="E627" s="4"/>
    </row>
    <row r="628" ht="15.75" customHeight="1">
      <c r="E628" s="4"/>
    </row>
    <row r="629" ht="15.75" customHeight="1">
      <c r="E629" s="4"/>
    </row>
    <row r="630" ht="15.75" customHeight="1">
      <c r="E630" s="4"/>
    </row>
    <row r="631" ht="15.75" customHeight="1">
      <c r="E631" s="4"/>
    </row>
    <row r="632" ht="15.75" customHeight="1">
      <c r="E632" s="4"/>
    </row>
    <row r="633" ht="15.75" customHeight="1">
      <c r="E633" s="4"/>
    </row>
    <row r="634" ht="15.75" customHeight="1">
      <c r="E634" s="4"/>
    </row>
    <row r="635" ht="15.75" customHeight="1">
      <c r="E635" s="4"/>
    </row>
    <row r="636" ht="15.75" customHeight="1">
      <c r="E636" s="4"/>
    </row>
    <row r="637" ht="15.75" customHeight="1">
      <c r="E637" s="4"/>
    </row>
    <row r="638" ht="15.75" customHeight="1">
      <c r="E638" s="4"/>
    </row>
    <row r="639" ht="15.75" customHeight="1">
      <c r="E639" s="4"/>
    </row>
    <row r="640" ht="15.75" customHeight="1">
      <c r="E640" s="4"/>
    </row>
    <row r="641" ht="15.75" customHeight="1">
      <c r="E641" s="4"/>
    </row>
    <row r="642" ht="15.75" customHeight="1">
      <c r="E642" s="4"/>
    </row>
    <row r="643" ht="15.75" customHeight="1">
      <c r="E643" s="4"/>
    </row>
    <row r="644" ht="15.75" customHeight="1">
      <c r="E644" s="4"/>
    </row>
    <row r="645" ht="15.75" customHeight="1">
      <c r="E645" s="4"/>
    </row>
    <row r="646" ht="15.75" customHeight="1">
      <c r="E646" s="4"/>
    </row>
    <row r="647" ht="15.75" customHeight="1">
      <c r="E647" s="4"/>
    </row>
    <row r="648" ht="15.75" customHeight="1">
      <c r="E648" s="4"/>
    </row>
    <row r="649" ht="15.75" customHeight="1">
      <c r="E649" s="4"/>
    </row>
    <row r="650" ht="15.75" customHeight="1">
      <c r="E650" s="4"/>
    </row>
    <row r="651" ht="15.75" customHeight="1">
      <c r="E651" s="4"/>
    </row>
    <row r="652" ht="15.75" customHeight="1">
      <c r="E652" s="4"/>
    </row>
    <row r="653" ht="15.75" customHeight="1">
      <c r="E653" s="4"/>
    </row>
    <row r="654" ht="15.75" customHeight="1">
      <c r="E654" s="4"/>
    </row>
    <row r="655" ht="15.75" customHeight="1">
      <c r="E655" s="4"/>
    </row>
    <row r="656" ht="15.75" customHeight="1">
      <c r="E656" s="4"/>
    </row>
    <row r="657" ht="15.75" customHeight="1">
      <c r="E657" s="4"/>
    </row>
    <row r="658" ht="15.75" customHeight="1">
      <c r="E658" s="4"/>
    </row>
    <row r="659" ht="15.75" customHeight="1">
      <c r="E659" s="4"/>
    </row>
    <row r="660" ht="15.75" customHeight="1">
      <c r="E660" s="4"/>
    </row>
    <row r="661" ht="15.75" customHeight="1">
      <c r="E661" s="4"/>
    </row>
    <row r="662" ht="15.75" customHeight="1">
      <c r="E662" s="4"/>
    </row>
    <row r="663" ht="15.75" customHeight="1">
      <c r="E663" s="4"/>
    </row>
    <row r="664" ht="15.75" customHeight="1">
      <c r="E664" s="4"/>
    </row>
    <row r="665" ht="15.75" customHeight="1">
      <c r="E665" s="4"/>
    </row>
    <row r="666" ht="15.75" customHeight="1">
      <c r="E666" s="4"/>
    </row>
    <row r="667" ht="15.75" customHeight="1">
      <c r="E667" s="4"/>
    </row>
    <row r="668" ht="15.75" customHeight="1">
      <c r="E668" s="4"/>
    </row>
    <row r="669" ht="15.75" customHeight="1">
      <c r="E669" s="4"/>
    </row>
    <row r="670" ht="15.75" customHeight="1">
      <c r="E670" s="4"/>
    </row>
    <row r="671" ht="15.75" customHeight="1">
      <c r="E671" s="4"/>
    </row>
    <row r="672" ht="15.75" customHeight="1">
      <c r="E672" s="4"/>
    </row>
    <row r="673" ht="15.75" customHeight="1">
      <c r="E673" s="4"/>
    </row>
    <row r="674" ht="15.75" customHeight="1">
      <c r="E674" s="4"/>
    </row>
    <row r="675" ht="15.75" customHeight="1">
      <c r="E675" s="4"/>
    </row>
    <row r="676" ht="15.75" customHeight="1">
      <c r="E676" s="4"/>
    </row>
    <row r="677" ht="15.75" customHeight="1">
      <c r="E677" s="4"/>
    </row>
    <row r="678" ht="15.75" customHeight="1">
      <c r="E678" s="4"/>
    </row>
    <row r="679" ht="15.75" customHeight="1">
      <c r="E679" s="4"/>
    </row>
    <row r="680" ht="15.75" customHeight="1">
      <c r="E680" s="4"/>
    </row>
    <row r="681" ht="15.75" customHeight="1">
      <c r="E681" s="4"/>
    </row>
    <row r="682" ht="15.75" customHeight="1">
      <c r="E682" s="4"/>
    </row>
    <row r="683" ht="15.75" customHeight="1">
      <c r="E683" s="4"/>
    </row>
    <row r="684" ht="15.75" customHeight="1">
      <c r="E684" s="4"/>
    </row>
    <row r="685" ht="15.75" customHeight="1">
      <c r="E685" s="4"/>
    </row>
    <row r="686" ht="15.75" customHeight="1">
      <c r="E686" s="4"/>
    </row>
    <row r="687" ht="15.75" customHeight="1">
      <c r="E687" s="4"/>
    </row>
    <row r="688" ht="15.75" customHeight="1">
      <c r="E688" s="4"/>
    </row>
    <row r="689" ht="15.75" customHeight="1">
      <c r="E689" s="4"/>
    </row>
    <row r="690" ht="15.75" customHeight="1">
      <c r="E690" s="4"/>
    </row>
    <row r="691" ht="15.75" customHeight="1">
      <c r="E691" s="4"/>
    </row>
    <row r="692" ht="15.75" customHeight="1">
      <c r="E692" s="4"/>
    </row>
    <row r="693" ht="15.75" customHeight="1">
      <c r="E693" s="4"/>
    </row>
    <row r="694" ht="15.75" customHeight="1">
      <c r="E694" s="4"/>
    </row>
    <row r="695" ht="15.75" customHeight="1">
      <c r="E695" s="4"/>
    </row>
    <row r="696" ht="15.75" customHeight="1">
      <c r="E696" s="4"/>
    </row>
    <row r="697" ht="15.75" customHeight="1">
      <c r="E697" s="4"/>
    </row>
    <row r="698" ht="15.75" customHeight="1">
      <c r="E698" s="4"/>
    </row>
    <row r="699" ht="15.75" customHeight="1">
      <c r="E699" s="4"/>
    </row>
    <row r="700" ht="15.75" customHeight="1">
      <c r="E700" s="4"/>
    </row>
    <row r="701" ht="15.75" customHeight="1">
      <c r="E701" s="4"/>
    </row>
    <row r="702" ht="15.75" customHeight="1">
      <c r="E702" s="4"/>
    </row>
    <row r="703" ht="15.75" customHeight="1">
      <c r="E703" s="4"/>
    </row>
    <row r="704" ht="15.75" customHeight="1">
      <c r="E704" s="4"/>
    </row>
    <row r="705" ht="15.75" customHeight="1">
      <c r="E705" s="4"/>
    </row>
    <row r="706" ht="15.75" customHeight="1">
      <c r="E706" s="4"/>
    </row>
    <row r="707" ht="15.75" customHeight="1">
      <c r="E707" s="4"/>
    </row>
    <row r="708" ht="15.75" customHeight="1">
      <c r="E708" s="4"/>
    </row>
    <row r="709" ht="15.75" customHeight="1">
      <c r="E709" s="4"/>
    </row>
    <row r="710" ht="15.75" customHeight="1">
      <c r="E710" s="4"/>
    </row>
    <row r="711" ht="15.75" customHeight="1">
      <c r="E711" s="4"/>
    </row>
    <row r="712" ht="15.75" customHeight="1">
      <c r="E712" s="4"/>
    </row>
    <row r="713" ht="15.75" customHeight="1">
      <c r="E713" s="4"/>
    </row>
    <row r="714" ht="15.75" customHeight="1">
      <c r="E714" s="4"/>
    </row>
    <row r="715" ht="15.75" customHeight="1">
      <c r="E715" s="4"/>
    </row>
    <row r="716" ht="15.75" customHeight="1">
      <c r="E716" s="4"/>
    </row>
    <row r="717" ht="15.75" customHeight="1">
      <c r="E717" s="4"/>
    </row>
    <row r="718" ht="15.75" customHeight="1">
      <c r="E718" s="4"/>
    </row>
    <row r="719" ht="15.75" customHeight="1">
      <c r="E719" s="4"/>
    </row>
    <row r="720" ht="15.75" customHeight="1">
      <c r="E720" s="4"/>
    </row>
    <row r="721" ht="15.75" customHeight="1">
      <c r="E721" s="4"/>
    </row>
    <row r="722" ht="15.75" customHeight="1">
      <c r="E722" s="4"/>
    </row>
    <row r="723" ht="15.75" customHeight="1">
      <c r="E723" s="4"/>
    </row>
    <row r="724" ht="15.75" customHeight="1">
      <c r="E724" s="4"/>
    </row>
    <row r="725" ht="15.75" customHeight="1">
      <c r="E725" s="4"/>
    </row>
    <row r="726" ht="15.75" customHeight="1">
      <c r="E726" s="4"/>
    </row>
    <row r="727" ht="15.75" customHeight="1">
      <c r="E727" s="4"/>
    </row>
    <row r="728" ht="15.75" customHeight="1">
      <c r="E728" s="4"/>
    </row>
    <row r="729" ht="15.75" customHeight="1">
      <c r="E729" s="4"/>
    </row>
    <row r="730" ht="15.75" customHeight="1">
      <c r="E730" s="4"/>
    </row>
    <row r="731" ht="15.75" customHeight="1">
      <c r="E731" s="4"/>
    </row>
    <row r="732" ht="15.75" customHeight="1">
      <c r="E732" s="4"/>
    </row>
    <row r="733" ht="15.75" customHeight="1">
      <c r="E733" s="4"/>
    </row>
    <row r="734" ht="15.75" customHeight="1">
      <c r="E734" s="4"/>
    </row>
    <row r="735" ht="15.75" customHeight="1">
      <c r="E735" s="4"/>
    </row>
    <row r="736" ht="15.75" customHeight="1">
      <c r="E736" s="4"/>
    </row>
    <row r="737" ht="15.75" customHeight="1">
      <c r="E737" s="4"/>
    </row>
    <row r="738" ht="15.75" customHeight="1">
      <c r="E738" s="4"/>
    </row>
    <row r="739" ht="15.75" customHeight="1">
      <c r="E739" s="4"/>
    </row>
    <row r="740" ht="15.75" customHeight="1">
      <c r="E740" s="4"/>
    </row>
    <row r="741" ht="15.75" customHeight="1">
      <c r="E741" s="4"/>
    </row>
    <row r="742" ht="15.75" customHeight="1">
      <c r="E742" s="4"/>
    </row>
    <row r="743" ht="15.75" customHeight="1">
      <c r="E743" s="4"/>
    </row>
    <row r="744" ht="15.75" customHeight="1">
      <c r="E744" s="4"/>
    </row>
    <row r="745" ht="15.75" customHeight="1">
      <c r="E745" s="4"/>
    </row>
    <row r="746" ht="15.75" customHeight="1">
      <c r="E746" s="4"/>
    </row>
    <row r="747" ht="15.75" customHeight="1">
      <c r="E747" s="4"/>
    </row>
    <row r="748" ht="15.75" customHeight="1">
      <c r="E748" s="4"/>
    </row>
    <row r="749" ht="15.75" customHeight="1">
      <c r="E749" s="4"/>
    </row>
    <row r="750" ht="15.75" customHeight="1">
      <c r="E750" s="4"/>
    </row>
    <row r="751" ht="15.75" customHeight="1">
      <c r="E751" s="4"/>
    </row>
    <row r="752" ht="15.75" customHeight="1">
      <c r="E752" s="4"/>
    </row>
    <row r="753" ht="15.75" customHeight="1">
      <c r="E753" s="4"/>
    </row>
    <row r="754" ht="15.75" customHeight="1">
      <c r="E754" s="4"/>
    </row>
    <row r="755" ht="15.75" customHeight="1">
      <c r="E755" s="4"/>
    </row>
    <row r="756" ht="15.75" customHeight="1">
      <c r="E756" s="4"/>
    </row>
    <row r="757" ht="15.75" customHeight="1">
      <c r="E757" s="4"/>
    </row>
    <row r="758" ht="15.75" customHeight="1">
      <c r="E758" s="4"/>
    </row>
    <row r="759" ht="15.75" customHeight="1">
      <c r="E759" s="4"/>
    </row>
    <row r="760" ht="15.75" customHeight="1">
      <c r="E760" s="4"/>
    </row>
    <row r="761" ht="15.75" customHeight="1">
      <c r="E761" s="4"/>
    </row>
    <row r="762" ht="15.75" customHeight="1">
      <c r="E762" s="4"/>
    </row>
    <row r="763" ht="15.75" customHeight="1">
      <c r="E763" s="4"/>
    </row>
    <row r="764" ht="15.75" customHeight="1">
      <c r="E764" s="4"/>
    </row>
    <row r="765" ht="15.75" customHeight="1">
      <c r="E765" s="4"/>
    </row>
    <row r="766" ht="15.75" customHeight="1">
      <c r="E766" s="4"/>
    </row>
    <row r="767" ht="15.75" customHeight="1">
      <c r="E767" s="4"/>
    </row>
    <row r="768" ht="15.75" customHeight="1">
      <c r="E768" s="4"/>
    </row>
    <row r="769" ht="15.75" customHeight="1">
      <c r="E769" s="4"/>
    </row>
    <row r="770" ht="15.75" customHeight="1">
      <c r="E770" s="4"/>
    </row>
    <row r="771" ht="15.75" customHeight="1">
      <c r="E771" s="4"/>
    </row>
    <row r="772" ht="15.75" customHeight="1">
      <c r="E772" s="4"/>
    </row>
    <row r="773" ht="15.75" customHeight="1">
      <c r="E773" s="4"/>
    </row>
    <row r="774" ht="15.75" customHeight="1">
      <c r="E774" s="4"/>
    </row>
    <row r="775" ht="15.75" customHeight="1">
      <c r="E775" s="4"/>
    </row>
    <row r="776" ht="15.75" customHeight="1">
      <c r="E776" s="4"/>
    </row>
    <row r="777" ht="15.75" customHeight="1">
      <c r="E777" s="4"/>
    </row>
    <row r="778" ht="15.75" customHeight="1">
      <c r="E778" s="4"/>
    </row>
    <row r="779" ht="15.75" customHeight="1">
      <c r="E779" s="4"/>
    </row>
    <row r="780" ht="15.75" customHeight="1">
      <c r="E780" s="4"/>
    </row>
    <row r="781" ht="15.75" customHeight="1">
      <c r="E781" s="4"/>
    </row>
    <row r="782" ht="15.75" customHeight="1">
      <c r="E782" s="4"/>
    </row>
    <row r="783" ht="15.75" customHeight="1">
      <c r="E783" s="4"/>
    </row>
    <row r="784" ht="15.75" customHeight="1">
      <c r="E784" s="4"/>
    </row>
    <row r="785" ht="15.75" customHeight="1">
      <c r="E785" s="4"/>
    </row>
    <row r="786" ht="15.75" customHeight="1">
      <c r="E786" s="4"/>
    </row>
    <row r="787" ht="15.75" customHeight="1">
      <c r="E787" s="4"/>
    </row>
    <row r="788" ht="15.75" customHeight="1">
      <c r="E788" s="4"/>
    </row>
    <row r="789" ht="15.75" customHeight="1">
      <c r="E789" s="4"/>
    </row>
    <row r="790" ht="15.75" customHeight="1">
      <c r="E790" s="4"/>
    </row>
    <row r="791" ht="15.75" customHeight="1">
      <c r="E791" s="4"/>
    </row>
    <row r="792" ht="15.75" customHeight="1">
      <c r="E792" s="4"/>
    </row>
    <row r="793" ht="15.75" customHeight="1">
      <c r="E793" s="4"/>
    </row>
    <row r="794" ht="15.75" customHeight="1">
      <c r="E794" s="4"/>
    </row>
    <row r="795" ht="15.75" customHeight="1">
      <c r="E795" s="4"/>
    </row>
    <row r="796" ht="15.75" customHeight="1">
      <c r="E796" s="4"/>
    </row>
    <row r="797" ht="15.75" customHeight="1">
      <c r="E797" s="4"/>
    </row>
    <row r="798" ht="15.75" customHeight="1">
      <c r="E798" s="4"/>
    </row>
    <row r="799" ht="15.75" customHeight="1">
      <c r="E799" s="4"/>
    </row>
    <row r="800" ht="15.75" customHeight="1">
      <c r="E800" s="4"/>
    </row>
    <row r="801" ht="15.75" customHeight="1">
      <c r="E801" s="4"/>
    </row>
    <row r="802" ht="15.75" customHeight="1">
      <c r="E802" s="4"/>
    </row>
    <row r="803" ht="15.75" customHeight="1">
      <c r="E803" s="4"/>
    </row>
    <row r="804" ht="15.75" customHeight="1">
      <c r="E804" s="4"/>
    </row>
    <row r="805" ht="15.75" customHeight="1">
      <c r="E805" s="4"/>
    </row>
    <row r="806" ht="15.75" customHeight="1">
      <c r="E806" s="4"/>
    </row>
    <row r="807" ht="15.75" customHeight="1">
      <c r="E807" s="4"/>
    </row>
    <row r="808" ht="15.75" customHeight="1">
      <c r="E808" s="4"/>
    </row>
    <row r="809" ht="15.75" customHeight="1">
      <c r="E809" s="4"/>
    </row>
    <row r="810" ht="15.75" customHeight="1">
      <c r="E810" s="4"/>
    </row>
    <row r="811" ht="15.75" customHeight="1">
      <c r="E811" s="4"/>
    </row>
    <row r="812" ht="15.75" customHeight="1">
      <c r="E812" s="4"/>
    </row>
    <row r="813" ht="15.75" customHeight="1">
      <c r="E813" s="4"/>
    </row>
    <row r="814" ht="15.75" customHeight="1">
      <c r="E814" s="4"/>
    </row>
    <row r="815" ht="15.75" customHeight="1">
      <c r="E815" s="4"/>
    </row>
    <row r="816" ht="15.75" customHeight="1">
      <c r="E816" s="4"/>
    </row>
    <row r="817" ht="15.75" customHeight="1">
      <c r="E817" s="4"/>
    </row>
    <row r="818" ht="15.75" customHeight="1">
      <c r="E818" s="4"/>
    </row>
    <row r="819" ht="15.75" customHeight="1">
      <c r="E819" s="4"/>
    </row>
    <row r="820" ht="15.75" customHeight="1">
      <c r="E820" s="4"/>
    </row>
    <row r="821" ht="15.75" customHeight="1">
      <c r="E821" s="4"/>
    </row>
    <row r="822" ht="15.75" customHeight="1">
      <c r="E822" s="4"/>
    </row>
    <row r="823" ht="15.75" customHeight="1">
      <c r="E823" s="4"/>
    </row>
    <row r="824" ht="15.75" customHeight="1">
      <c r="E824" s="4"/>
    </row>
    <row r="825" ht="15.75" customHeight="1">
      <c r="E825" s="4"/>
    </row>
    <row r="826" ht="15.75" customHeight="1">
      <c r="E826" s="4"/>
    </row>
    <row r="827" ht="15.75" customHeight="1">
      <c r="E827" s="4"/>
    </row>
    <row r="828" ht="15.75" customHeight="1">
      <c r="E828" s="4"/>
    </row>
    <row r="829" ht="15.75" customHeight="1">
      <c r="E829" s="4"/>
    </row>
    <row r="830" ht="15.75" customHeight="1">
      <c r="E830" s="4"/>
    </row>
    <row r="831" ht="15.75" customHeight="1">
      <c r="E831" s="4"/>
    </row>
    <row r="832" ht="15.75" customHeight="1">
      <c r="E832" s="4"/>
    </row>
    <row r="833" ht="15.75" customHeight="1">
      <c r="E833" s="4"/>
    </row>
    <row r="834" ht="15.75" customHeight="1">
      <c r="E834" s="4"/>
    </row>
    <row r="835" ht="15.75" customHeight="1">
      <c r="E835" s="4"/>
    </row>
    <row r="836" ht="15.75" customHeight="1">
      <c r="E836" s="4"/>
    </row>
    <row r="837" ht="15.75" customHeight="1">
      <c r="E837" s="4"/>
    </row>
    <row r="838" ht="15.75" customHeight="1">
      <c r="E838" s="4"/>
    </row>
    <row r="839" ht="15.75" customHeight="1">
      <c r="E839" s="4"/>
    </row>
    <row r="840" ht="15.75" customHeight="1">
      <c r="E840" s="4"/>
    </row>
    <row r="841" ht="15.75" customHeight="1">
      <c r="E841" s="4"/>
    </row>
    <row r="842" ht="15.75" customHeight="1">
      <c r="E842" s="4"/>
    </row>
    <row r="843" ht="15.75" customHeight="1">
      <c r="E843" s="4"/>
    </row>
    <row r="844" ht="15.75" customHeight="1">
      <c r="E844" s="4"/>
    </row>
    <row r="845" ht="15.75" customHeight="1">
      <c r="E845" s="4"/>
    </row>
    <row r="846" ht="15.75" customHeight="1">
      <c r="E846" s="4"/>
    </row>
    <row r="847" ht="15.75" customHeight="1">
      <c r="E847" s="4"/>
    </row>
    <row r="848" ht="15.75" customHeight="1">
      <c r="E848" s="4"/>
    </row>
    <row r="849" ht="15.75" customHeight="1">
      <c r="E849" s="4"/>
    </row>
    <row r="850" ht="15.75" customHeight="1">
      <c r="E850" s="4"/>
    </row>
    <row r="851" ht="15.75" customHeight="1">
      <c r="E851" s="4"/>
    </row>
    <row r="852" ht="15.75" customHeight="1">
      <c r="E852" s="4"/>
    </row>
    <row r="853" ht="15.75" customHeight="1">
      <c r="E853" s="4"/>
    </row>
    <row r="854" ht="15.75" customHeight="1">
      <c r="E854" s="4"/>
    </row>
    <row r="855" ht="15.75" customHeight="1">
      <c r="E855" s="4"/>
    </row>
    <row r="856" ht="15.75" customHeight="1">
      <c r="E856" s="4"/>
    </row>
    <row r="857" ht="15.75" customHeight="1">
      <c r="E857" s="4"/>
    </row>
    <row r="858" ht="15.75" customHeight="1">
      <c r="E858" s="4"/>
    </row>
    <row r="859" ht="15.75" customHeight="1">
      <c r="E859" s="4"/>
    </row>
    <row r="860" ht="15.75" customHeight="1">
      <c r="E860" s="4"/>
    </row>
    <row r="861" ht="15.75" customHeight="1">
      <c r="E861" s="4"/>
    </row>
    <row r="862" ht="15.75" customHeight="1">
      <c r="E862" s="4"/>
    </row>
    <row r="863" ht="15.75" customHeight="1">
      <c r="E863" s="4"/>
    </row>
    <row r="864" ht="15.75" customHeight="1">
      <c r="E864" s="4"/>
    </row>
    <row r="865" ht="15.75" customHeight="1">
      <c r="E865" s="4"/>
    </row>
    <row r="866" ht="15.75" customHeight="1">
      <c r="E866" s="4"/>
    </row>
    <row r="867" ht="15.75" customHeight="1">
      <c r="E867" s="4"/>
    </row>
    <row r="868" ht="15.75" customHeight="1">
      <c r="E868" s="4"/>
    </row>
    <row r="869" ht="15.75" customHeight="1">
      <c r="E869" s="4"/>
    </row>
    <row r="870" ht="15.75" customHeight="1">
      <c r="E870" s="4"/>
    </row>
    <row r="871" ht="15.75" customHeight="1">
      <c r="E871" s="4"/>
    </row>
    <row r="872" ht="15.75" customHeight="1">
      <c r="E872" s="4"/>
    </row>
    <row r="873" ht="15.75" customHeight="1">
      <c r="E873" s="4"/>
    </row>
    <row r="874" ht="15.75" customHeight="1">
      <c r="E874" s="4"/>
    </row>
    <row r="875" ht="15.75" customHeight="1">
      <c r="E875" s="4"/>
    </row>
    <row r="876" ht="15.75" customHeight="1">
      <c r="E876" s="4"/>
    </row>
    <row r="877" ht="15.75" customHeight="1">
      <c r="E877" s="4"/>
    </row>
    <row r="878" ht="15.75" customHeight="1">
      <c r="E878" s="4"/>
    </row>
    <row r="879" ht="15.75" customHeight="1">
      <c r="E879" s="4"/>
    </row>
    <row r="880" ht="15.75" customHeight="1">
      <c r="E880" s="4"/>
    </row>
    <row r="881" ht="15.75" customHeight="1">
      <c r="E881" s="4"/>
    </row>
    <row r="882" ht="15.75" customHeight="1">
      <c r="E882" s="4"/>
    </row>
    <row r="883" ht="15.75" customHeight="1">
      <c r="E883" s="4"/>
    </row>
    <row r="884" ht="15.75" customHeight="1">
      <c r="E884" s="4"/>
    </row>
    <row r="885" ht="15.75" customHeight="1">
      <c r="E885" s="4"/>
    </row>
    <row r="886" ht="15.75" customHeight="1">
      <c r="E886" s="4"/>
    </row>
    <row r="887" ht="15.75" customHeight="1">
      <c r="E887" s="4"/>
    </row>
    <row r="888" ht="15.75" customHeight="1">
      <c r="E888" s="4"/>
    </row>
    <row r="889" ht="15.75" customHeight="1">
      <c r="E889" s="4"/>
    </row>
    <row r="890" ht="15.75" customHeight="1">
      <c r="E890" s="4"/>
    </row>
    <row r="891" ht="15.75" customHeight="1">
      <c r="E891" s="4"/>
    </row>
    <row r="892" ht="15.75" customHeight="1">
      <c r="E892" s="4"/>
    </row>
    <row r="893" ht="15.75" customHeight="1">
      <c r="E893" s="4"/>
    </row>
    <row r="894" ht="15.75" customHeight="1">
      <c r="E894" s="4"/>
    </row>
    <row r="895" ht="15.75" customHeight="1">
      <c r="E895" s="4"/>
    </row>
    <row r="896" ht="15.75" customHeight="1">
      <c r="E896" s="4"/>
    </row>
    <row r="897" ht="15.75" customHeight="1">
      <c r="E897" s="4"/>
    </row>
    <row r="898" ht="15.75" customHeight="1">
      <c r="E898" s="4"/>
    </row>
    <row r="899" ht="15.75" customHeight="1">
      <c r="E899" s="4"/>
    </row>
    <row r="900" ht="15.75" customHeight="1">
      <c r="E900" s="4"/>
    </row>
    <row r="901" ht="15.75" customHeight="1">
      <c r="E901" s="4"/>
    </row>
    <row r="902" ht="15.75" customHeight="1">
      <c r="E902" s="4"/>
    </row>
    <row r="903" ht="15.75" customHeight="1">
      <c r="E903" s="4"/>
    </row>
    <row r="904" ht="15.75" customHeight="1">
      <c r="E904" s="4"/>
    </row>
    <row r="905" ht="15.75" customHeight="1">
      <c r="E905" s="4"/>
    </row>
    <row r="906" ht="15.75" customHeight="1">
      <c r="E906" s="4"/>
    </row>
    <row r="907" ht="15.75" customHeight="1">
      <c r="E907" s="4"/>
    </row>
    <row r="908" ht="15.75" customHeight="1">
      <c r="E908" s="4"/>
    </row>
    <row r="909" ht="15.75" customHeight="1">
      <c r="E909" s="4"/>
    </row>
    <row r="910" ht="15.75" customHeight="1">
      <c r="E910" s="4"/>
    </row>
    <row r="911" ht="15.75" customHeight="1">
      <c r="E911" s="4"/>
    </row>
    <row r="912" ht="15.75" customHeight="1">
      <c r="E912" s="4"/>
    </row>
    <row r="913" ht="15.75" customHeight="1">
      <c r="E913" s="4"/>
    </row>
    <row r="914" ht="15.75" customHeight="1">
      <c r="E914" s="4"/>
    </row>
    <row r="915" ht="15.75" customHeight="1">
      <c r="E915" s="4"/>
    </row>
    <row r="916" ht="15.75" customHeight="1">
      <c r="E916" s="4"/>
    </row>
    <row r="917" ht="15.75" customHeight="1">
      <c r="E917" s="4"/>
    </row>
    <row r="918" ht="15.75" customHeight="1">
      <c r="E918" s="4"/>
    </row>
    <row r="919" ht="15.75" customHeight="1">
      <c r="E919" s="4"/>
    </row>
    <row r="920" ht="15.75" customHeight="1">
      <c r="E920" s="4"/>
    </row>
    <row r="921" ht="15.75" customHeight="1">
      <c r="E921" s="4"/>
    </row>
    <row r="922" ht="15.75" customHeight="1">
      <c r="E922" s="4"/>
    </row>
    <row r="923" ht="15.75" customHeight="1">
      <c r="E923" s="4"/>
    </row>
    <row r="924" ht="15.75" customHeight="1">
      <c r="E924" s="4"/>
    </row>
    <row r="925" ht="15.75" customHeight="1">
      <c r="E925" s="4"/>
    </row>
    <row r="926" ht="15.75" customHeight="1">
      <c r="E926" s="4"/>
    </row>
    <row r="927" ht="15.75" customHeight="1">
      <c r="E927" s="4"/>
    </row>
    <row r="928" ht="15.75" customHeight="1">
      <c r="E928" s="4"/>
    </row>
    <row r="929" ht="15.75" customHeight="1">
      <c r="E929" s="4"/>
    </row>
    <row r="930" ht="15.75" customHeight="1">
      <c r="E930" s="4"/>
    </row>
    <row r="931" ht="15.75" customHeight="1">
      <c r="E931" s="4"/>
    </row>
    <row r="932" ht="15.75" customHeight="1">
      <c r="E932" s="4"/>
    </row>
    <row r="933" ht="15.75" customHeight="1">
      <c r="E933" s="4"/>
    </row>
    <row r="934" ht="15.75" customHeight="1">
      <c r="E934" s="4"/>
    </row>
    <row r="935" ht="15.75" customHeight="1">
      <c r="E935" s="4"/>
    </row>
    <row r="936" ht="15.75" customHeight="1">
      <c r="E936" s="4"/>
    </row>
    <row r="937" ht="15.75" customHeight="1">
      <c r="E937" s="4"/>
    </row>
    <row r="938" ht="15.75" customHeight="1">
      <c r="E938" s="4"/>
    </row>
    <row r="939" ht="15.75" customHeight="1">
      <c r="E939" s="4"/>
    </row>
    <row r="940" ht="15.75" customHeight="1">
      <c r="E940" s="4"/>
    </row>
    <row r="941" ht="15.75" customHeight="1">
      <c r="E941" s="4"/>
    </row>
    <row r="942" ht="15.75" customHeight="1">
      <c r="E942" s="4"/>
    </row>
    <row r="943" ht="15.75" customHeight="1">
      <c r="E943" s="4"/>
    </row>
    <row r="944" ht="15.75" customHeight="1">
      <c r="E944" s="4"/>
    </row>
    <row r="945" ht="15.75" customHeight="1">
      <c r="E945" s="4"/>
    </row>
    <row r="946" ht="15.75" customHeight="1">
      <c r="E946" s="4"/>
    </row>
    <row r="947" ht="15.75" customHeight="1">
      <c r="E947" s="4"/>
    </row>
    <row r="948" ht="15.75" customHeight="1">
      <c r="E948" s="4"/>
    </row>
    <row r="949" ht="15.75" customHeight="1">
      <c r="E949" s="4"/>
    </row>
    <row r="950" ht="15.75" customHeight="1">
      <c r="E950" s="4"/>
    </row>
    <row r="951" ht="15.75" customHeight="1">
      <c r="E951" s="4"/>
    </row>
    <row r="952" ht="15.75" customHeight="1">
      <c r="E952" s="4"/>
    </row>
    <row r="953" ht="15.75" customHeight="1">
      <c r="E953" s="4"/>
    </row>
    <row r="954" ht="15.75" customHeight="1">
      <c r="E954" s="4"/>
    </row>
    <row r="955" ht="15.75" customHeight="1">
      <c r="E955" s="4"/>
    </row>
    <row r="956" ht="15.75" customHeight="1">
      <c r="E956" s="4"/>
    </row>
    <row r="957" ht="15.75" customHeight="1">
      <c r="E957" s="4"/>
    </row>
    <row r="958" ht="15.75" customHeight="1">
      <c r="E958" s="4"/>
    </row>
    <row r="959" ht="15.75" customHeight="1">
      <c r="E959" s="4"/>
    </row>
    <row r="960" ht="15.75" customHeight="1">
      <c r="E960" s="4"/>
    </row>
    <row r="961" ht="15.75" customHeight="1">
      <c r="E961" s="4"/>
    </row>
    <row r="962" ht="15.75" customHeight="1">
      <c r="E962" s="4"/>
    </row>
    <row r="963" ht="15.75" customHeight="1">
      <c r="E963" s="4"/>
    </row>
    <row r="964" ht="15.75" customHeight="1">
      <c r="E964" s="4"/>
    </row>
    <row r="965" ht="15.75" customHeight="1">
      <c r="E965" s="4"/>
    </row>
    <row r="966" ht="15.75" customHeight="1">
      <c r="E966" s="4"/>
    </row>
    <row r="967" ht="15.75" customHeight="1">
      <c r="E967" s="4"/>
    </row>
    <row r="968" ht="15.75" customHeight="1">
      <c r="E968" s="4"/>
    </row>
    <row r="969" ht="15.75" customHeight="1">
      <c r="E969" s="4"/>
    </row>
    <row r="970" ht="15.75" customHeight="1">
      <c r="E970" s="4"/>
    </row>
    <row r="971" ht="15.75" customHeight="1">
      <c r="E971" s="4"/>
    </row>
    <row r="972" ht="15.75" customHeight="1">
      <c r="E972" s="4"/>
    </row>
    <row r="973" ht="15.75" customHeight="1">
      <c r="E973" s="4"/>
    </row>
    <row r="974" ht="15.75" customHeight="1">
      <c r="E974" s="4"/>
    </row>
    <row r="975" ht="15.75" customHeight="1">
      <c r="E975" s="4"/>
    </row>
    <row r="976" ht="15.75" customHeight="1">
      <c r="E976" s="4"/>
    </row>
    <row r="977" ht="15.75" customHeight="1">
      <c r="E977" s="4"/>
    </row>
    <row r="978" ht="15.75" customHeight="1">
      <c r="E978" s="4"/>
    </row>
    <row r="979" ht="15.75" customHeight="1">
      <c r="E979" s="4"/>
    </row>
    <row r="980" ht="15.75" customHeight="1">
      <c r="E980" s="4"/>
    </row>
    <row r="981" ht="15.75" customHeight="1">
      <c r="E981" s="4"/>
    </row>
    <row r="982" ht="15.75" customHeight="1">
      <c r="E982" s="4"/>
    </row>
    <row r="983" ht="15.75" customHeight="1">
      <c r="E983" s="4"/>
    </row>
    <row r="984" ht="15.75" customHeight="1">
      <c r="E984" s="4"/>
    </row>
    <row r="985" ht="15.75" customHeight="1">
      <c r="E985" s="4"/>
    </row>
    <row r="986" ht="15.75" customHeight="1">
      <c r="E986" s="4"/>
    </row>
    <row r="987" ht="15.75" customHeight="1">
      <c r="E987" s="4"/>
    </row>
    <row r="988" ht="15.75" customHeight="1">
      <c r="E988" s="4"/>
    </row>
    <row r="989" ht="15.75" customHeight="1">
      <c r="E989" s="4"/>
    </row>
    <row r="990" ht="15.75" customHeight="1">
      <c r="E990" s="4"/>
    </row>
    <row r="991" ht="15.75" customHeight="1">
      <c r="E991" s="4"/>
    </row>
    <row r="992" ht="15.75" customHeight="1">
      <c r="E992" s="4"/>
    </row>
    <row r="993" ht="15.75" customHeight="1">
      <c r="E993" s="4"/>
    </row>
    <row r="994" ht="15.75" customHeight="1">
      <c r="E994" s="4"/>
    </row>
    <row r="995" ht="15.75" customHeight="1">
      <c r="E995" s="4"/>
    </row>
    <row r="996" ht="15.75" customHeight="1">
      <c r="E996" s="4"/>
    </row>
    <row r="997" ht="15.75" customHeight="1">
      <c r="E997" s="4"/>
    </row>
    <row r="998" ht="15.75" customHeight="1">
      <c r="E998" s="4"/>
    </row>
    <row r="999" ht="15.75" customHeight="1">
      <c r="E999" s="4"/>
    </row>
    <row r="1000" ht="15.75" customHeight="1">
      <c r="E1000" s="4"/>
    </row>
  </sheetData>
  <autoFilter ref="$A$1:$V$51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2026-06-10T12:50:00Z</dcterms:created>
  <dc:creator>alidada999-1@outlook.com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75C02923A559473E8F7E3F75B6BA3DCD_13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