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 Ali\Downloads\Data Analysis-entern\"/>
    </mc:Choice>
  </mc:AlternateContent>
  <xr:revisionPtr revIDLastSave="0" documentId="8_{2879BC5D-A1A8-46ED-B3EA-ABE2F6717D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3" i="1"/>
  <c r="D4" i="1"/>
  <c r="D5" i="1"/>
  <c r="D6" i="1"/>
  <c r="D7" i="1"/>
  <c r="D2" i="1"/>
  <c r="D1" i="1"/>
  <c r="V2" i="1"/>
  <c r="U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<sst xmlns="http://schemas.openxmlformats.org/spreadsheetml/2006/main" count="373" uniqueCount="232">
  <si>
    <t>Client_ID</t>
  </si>
  <si>
    <t>Client_Name</t>
  </si>
  <si>
    <t>Client_Services</t>
  </si>
  <si>
    <t>Project_Budget</t>
  </si>
  <si>
    <t>Project_Status</t>
  </si>
  <si>
    <t>Start_Date</t>
  </si>
  <si>
    <t>End_Date</t>
  </si>
  <si>
    <t>Client_City</t>
  </si>
  <si>
    <t>Lead_Sources</t>
  </si>
  <si>
    <t>Payment_Status</t>
  </si>
  <si>
    <t>Client_Rating</t>
  </si>
  <si>
    <t>Total_Sum</t>
  </si>
  <si>
    <t>Average</t>
  </si>
  <si>
    <t>MAX</t>
  </si>
  <si>
    <t>Min</t>
  </si>
  <si>
    <t>Count</t>
  </si>
  <si>
    <t>highest/lowest budget</t>
  </si>
  <si>
    <t>Vlookuo/Xlookup</t>
  </si>
  <si>
    <t>Count A</t>
  </si>
  <si>
    <t>AverageIF</t>
  </si>
  <si>
    <t>SUMIF</t>
  </si>
  <si>
    <t>23-AI-01</t>
  </si>
  <si>
    <t>M.Ali</t>
  </si>
  <si>
    <t>Data Analysis</t>
  </si>
  <si>
    <t>In Progress</t>
  </si>
  <si>
    <t>Nawabshah</t>
  </si>
  <si>
    <t>Referral</t>
  </si>
  <si>
    <t>un-paid</t>
  </si>
  <si>
    <t>Low Budget</t>
  </si>
  <si>
    <t>23-AI-02</t>
  </si>
  <si>
    <t>Adil</t>
  </si>
  <si>
    <t>AI Consultation</t>
  </si>
  <si>
    <t>Karachi</t>
  </si>
  <si>
    <t>Google Ads</t>
  </si>
  <si>
    <t>23-AI-03</t>
  </si>
  <si>
    <t>Dilawar</t>
  </si>
  <si>
    <t>Cyber Security</t>
  </si>
  <si>
    <t>Islamabad</t>
  </si>
  <si>
    <t>Email</t>
  </si>
  <si>
    <t>23-AI-04</t>
  </si>
  <si>
    <t>Yasir</t>
  </si>
  <si>
    <t>Cloud Computing</t>
  </si>
  <si>
    <t>Lahore</t>
  </si>
  <si>
    <t>Instagram</t>
  </si>
  <si>
    <t>23-AI-05</t>
  </si>
  <si>
    <t>Mohsin</t>
  </si>
  <si>
    <t>App Development</t>
  </si>
  <si>
    <t>Multan</t>
  </si>
  <si>
    <t>Facebook</t>
  </si>
  <si>
    <t>23-AI-06</t>
  </si>
  <si>
    <t>Azan</t>
  </si>
  <si>
    <t>SEO Services</t>
  </si>
  <si>
    <t>Hydrabad</t>
  </si>
  <si>
    <t>Cold Call</t>
  </si>
  <si>
    <t>23-AI-07</t>
  </si>
  <si>
    <t>Faraz</t>
  </si>
  <si>
    <t>IT Support</t>
  </si>
  <si>
    <t>Pindi</t>
  </si>
  <si>
    <t>23-AI-08</t>
  </si>
  <si>
    <t>Rehan</t>
  </si>
  <si>
    <t>UI/UX Design</t>
  </si>
  <si>
    <t>Sukkur</t>
  </si>
  <si>
    <t>LinkedIn</t>
  </si>
  <si>
    <t>23-AI-09</t>
  </si>
  <si>
    <t>Abbas</t>
  </si>
  <si>
    <t>E-commerce Solutions</t>
  </si>
  <si>
    <t>Moro</t>
  </si>
  <si>
    <t>Google Search</t>
  </si>
  <si>
    <t>23-AI-10</t>
  </si>
  <si>
    <t>Jahangeer</t>
  </si>
  <si>
    <t>Digital Marketing</t>
  </si>
  <si>
    <t>Dadu</t>
  </si>
  <si>
    <t>23-AI-11</t>
  </si>
  <si>
    <t>Shayan</t>
  </si>
  <si>
    <t>Software Engineering</t>
  </si>
  <si>
    <t>Faisalabad</t>
  </si>
  <si>
    <t>23-AI-12</t>
  </si>
  <si>
    <t>Rehman</t>
  </si>
  <si>
    <t>Game Development</t>
  </si>
  <si>
    <t>Quetta</t>
  </si>
  <si>
    <t>Tech Event</t>
  </si>
  <si>
    <t>23-AI-13</t>
  </si>
  <si>
    <t>Rizwan</t>
  </si>
  <si>
    <t>Machine Learning</t>
  </si>
  <si>
    <t>Peshawar</t>
  </si>
  <si>
    <t>23-AI-14</t>
  </si>
  <si>
    <t>Farhan</t>
  </si>
  <si>
    <t>Graphic Designing</t>
  </si>
  <si>
    <t>Sialkot</t>
  </si>
  <si>
    <t>23-AI-15</t>
  </si>
  <si>
    <t>Shoaib</t>
  </si>
  <si>
    <t>Network Administration</t>
  </si>
  <si>
    <t>Gujranwala</t>
  </si>
  <si>
    <t>23-AI-16</t>
  </si>
  <si>
    <t>Huzaifa</t>
  </si>
  <si>
    <t>IT Consulting</t>
  </si>
  <si>
    <t>Larkana</t>
  </si>
  <si>
    <t>23-AI-17</t>
  </si>
  <si>
    <t>Izhar</t>
  </si>
  <si>
    <t>Business Intelligence</t>
  </si>
  <si>
    <t>Mirpur</t>
  </si>
  <si>
    <t>23-AI-18</t>
  </si>
  <si>
    <t>Umer</t>
  </si>
  <si>
    <t>Content Strategy</t>
  </si>
  <si>
    <t>Thatta</t>
  </si>
  <si>
    <t>23-AI-19</t>
  </si>
  <si>
    <t>Adnan</t>
  </si>
  <si>
    <t>Web Design</t>
  </si>
  <si>
    <t>Badeen</t>
  </si>
  <si>
    <t>23-AI-20</t>
  </si>
  <si>
    <t>Fayaz</t>
  </si>
  <si>
    <t>Database Management</t>
  </si>
  <si>
    <t>Khairpur</t>
  </si>
  <si>
    <t>23-AI-21</t>
  </si>
  <si>
    <t>Muzamil</t>
  </si>
  <si>
    <t>Cloud Migration</t>
  </si>
  <si>
    <t>Sargoda</t>
  </si>
  <si>
    <t>23-AI-22</t>
  </si>
  <si>
    <t>Amjad</t>
  </si>
  <si>
    <t>Bahawalpur</t>
  </si>
  <si>
    <t>23-AI-23</t>
  </si>
  <si>
    <t>Imran</t>
  </si>
  <si>
    <t>SEO Optimization</t>
  </si>
  <si>
    <t>Abbottabad</t>
  </si>
  <si>
    <t>23-AI-24</t>
  </si>
  <si>
    <t>Kamran</t>
  </si>
  <si>
    <t>Tech Support</t>
  </si>
  <si>
    <t>Gawadar</t>
  </si>
  <si>
    <t>23-AI-25</t>
  </si>
  <si>
    <t>Sanaullah</t>
  </si>
  <si>
    <t>E-commerce Setup</t>
  </si>
  <si>
    <t>Sahiwal</t>
  </si>
  <si>
    <t>23-AI-26</t>
  </si>
  <si>
    <t>Rashid</t>
  </si>
  <si>
    <t>Social Media Management</t>
  </si>
  <si>
    <t>Jhelum</t>
  </si>
  <si>
    <t>23-AI-27</t>
  </si>
  <si>
    <t>Rayay</t>
  </si>
  <si>
    <t>Software Testing</t>
  </si>
  <si>
    <t>Gujrat</t>
  </si>
  <si>
    <t>23-AI-28</t>
  </si>
  <si>
    <t>Wassey</t>
  </si>
  <si>
    <t>AI Integration</t>
  </si>
  <si>
    <t>Sheikhupura</t>
  </si>
  <si>
    <t>23-AI-29</t>
  </si>
  <si>
    <t>Shafay</t>
  </si>
  <si>
    <t>IT Infrastructure</t>
  </si>
  <si>
    <t>Oara</t>
  </si>
  <si>
    <t>23-AI-30</t>
  </si>
  <si>
    <t>Manan</t>
  </si>
  <si>
    <t>Content Writing</t>
  </si>
  <si>
    <t>Kasur</t>
  </si>
  <si>
    <t>23-AI-31</t>
  </si>
  <si>
    <t>Hanan</t>
  </si>
  <si>
    <t>Backend Development</t>
  </si>
  <si>
    <t>Chiniot</t>
  </si>
  <si>
    <t>23-AI-32</t>
  </si>
  <si>
    <t>Zohaib</t>
  </si>
  <si>
    <t>Cloud Storage Solutions</t>
  </si>
  <si>
    <t>Kamoke</t>
  </si>
  <si>
    <t>23-AI-33</t>
  </si>
  <si>
    <t>Arman</t>
  </si>
  <si>
    <t>Cyber Security Training</t>
  </si>
  <si>
    <t>Marden</t>
  </si>
  <si>
    <t>23-AI-34</t>
  </si>
  <si>
    <t>Noman</t>
  </si>
  <si>
    <t>Mobile App QA</t>
  </si>
  <si>
    <t>Kohat</t>
  </si>
  <si>
    <t>23-AI-35</t>
  </si>
  <si>
    <t>Sohail</t>
  </si>
  <si>
    <t>Local SEO</t>
  </si>
  <si>
    <t>Daira-ismail khan</t>
  </si>
  <si>
    <t>23-AI-36</t>
  </si>
  <si>
    <t>Amir</t>
  </si>
  <si>
    <t>Remote IT Support</t>
  </si>
  <si>
    <t>Gilgit</t>
  </si>
  <si>
    <t>23-AI-37</t>
  </si>
  <si>
    <t>Shakir</t>
  </si>
  <si>
    <t>Product Prototyping</t>
  </si>
  <si>
    <t>Sakardu</t>
  </si>
  <si>
    <t>23-AI-38</t>
  </si>
  <si>
    <t>Shahbaz</t>
  </si>
  <si>
    <t xml:space="preserve">Digital Transformation </t>
  </si>
  <si>
    <t>Muzaffarabad</t>
  </si>
  <si>
    <t>23-AI-39</t>
  </si>
  <si>
    <t>Zamin</t>
  </si>
  <si>
    <t>Data Engineering</t>
  </si>
  <si>
    <t>Shahdadkot</t>
  </si>
  <si>
    <t>23-AI-40</t>
  </si>
  <si>
    <t>Salman</t>
  </si>
  <si>
    <t>Predictive Modeling</t>
  </si>
  <si>
    <t>Kandhkot</t>
  </si>
  <si>
    <t>23-AI-41</t>
  </si>
  <si>
    <t>Zohan</t>
  </si>
  <si>
    <t>DevOps Pipeline Setup</t>
  </si>
  <si>
    <t>Kamber</t>
  </si>
  <si>
    <t>23-AI-42</t>
  </si>
  <si>
    <t>Ayan</t>
  </si>
  <si>
    <t>Blockchain Development</t>
  </si>
  <si>
    <t>Sehwan</t>
  </si>
  <si>
    <t>23-AI-43</t>
  </si>
  <si>
    <t>Rohail</t>
  </si>
  <si>
    <t>API Integration Services</t>
  </si>
  <si>
    <t>Tando-adam</t>
  </si>
  <si>
    <t>23-AI-44</t>
  </si>
  <si>
    <t>Nazeer</t>
  </si>
  <si>
    <t>IT Disaster Recovery</t>
  </si>
  <si>
    <t>Sanghar</t>
  </si>
  <si>
    <t>23-AI-45</t>
  </si>
  <si>
    <t>Tariq</t>
  </si>
  <si>
    <t>ERP System Implementation</t>
  </si>
  <si>
    <t>Umerkot</t>
  </si>
  <si>
    <t>23-AI-46</t>
  </si>
  <si>
    <t>Nasir</t>
  </si>
  <si>
    <t>Business Automation</t>
  </si>
  <si>
    <t>Matiari</t>
  </si>
  <si>
    <t>23-AI-47</t>
  </si>
  <si>
    <t>Hussain</t>
  </si>
  <si>
    <t>Generative AI Solutions</t>
  </si>
  <si>
    <t>Attock</t>
  </si>
  <si>
    <t>23-AI-48</t>
  </si>
  <si>
    <t>Hasnain</t>
  </si>
  <si>
    <t>Big Data Analytics</t>
  </si>
  <si>
    <t>Murree</t>
  </si>
  <si>
    <t>23-AI-49</t>
  </si>
  <si>
    <t>Farman</t>
  </si>
  <si>
    <t>Natural Language Processing</t>
  </si>
  <si>
    <t>Vehari</t>
  </si>
  <si>
    <t>23-AI-50</t>
  </si>
  <si>
    <t>Shahzaib</t>
  </si>
  <si>
    <t>Wev Development</t>
  </si>
  <si>
    <t>Taxila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</si>
</sst>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s&quot;#,##0.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  <xf numFmtId="15" fontId="3" fillId="0" borderId="0" xfId="0" applyNumberFormat="1" applyFont="1" applyFill="1" applyAlignment="1"/>
    <xf numFmtId="168" fontId="2" fillId="0" borderId="0" xfId="0" applyNumberFormat="1" applyFont="1" applyFill="1" applyAlignment="1"/>
    <xf numFmtId="168" fontId="3" fillId="0" borderId="0" xfId="0" applyNumberFormat="1" applyFont="1" applyFill="1" applyAlignme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zoomScale="73" zoomScaleNormal="73" workbookViewId="0">
      <selection activeCell="Q16" sqref="Q16"/>
    </sheetView>
  </sheetViews>
  <sheetFormatPr defaultColWidth="9" defaultRowHeight="15"/>
  <cols>
    <col min="2" max="2" width="12.42578125" customWidth="1"/>
    <col min="3" max="3" width="30.28515625" customWidth="1"/>
    <col min="4" max="4" width="28.42578125" customWidth="1"/>
    <col min="5" max="5" width="17.42578125" style="7" customWidth="1"/>
    <col min="6" max="6" width="16.7109375" customWidth="1"/>
    <col min="7" max="7" width="14" customWidth="1"/>
    <col min="8" max="8" width="13" customWidth="1"/>
    <col min="9" max="9" width="12.42578125" customWidth="1"/>
    <col min="10" max="10" width="13.140625" customWidth="1"/>
    <col min="11" max="11" width="15.7109375" customWidth="1"/>
    <col min="12" max="12" width="12.42578125" customWidth="1"/>
    <col min="13" max="13" width="10.42578125" customWidth="1"/>
    <col min="18" max="18" width="21.28515625" customWidth="1"/>
    <col min="19" max="19" width="17.28515625" customWidth="1"/>
    <col min="21" max="21" width="12.28515625" customWidth="1"/>
  </cols>
  <sheetData>
    <row r="1" spans="1:22">
      <c r="A1" s="1" t="s">
        <v>0</v>
      </c>
      <c r="B1" s="2" t="s">
        <v>1</v>
      </c>
      <c r="C1" s="2" t="s">
        <v>2</v>
      </c>
      <c r="D1" s="2" t="str">
        <f>PROPER(C2)</f>
        <v>Data Analysis</v>
      </c>
      <c r="E1" s="5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t="s">
        <v>21</v>
      </c>
      <c r="B2" s="3" t="s">
        <v>22</v>
      </c>
      <c r="C2" s="3" t="s">
        <v>23</v>
      </c>
      <c r="D2" s="3" t="str">
        <f>PROPER(C2)</f>
        <v>Data Analysis</v>
      </c>
      <c r="E2" s="6">
        <v>2500</v>
      </c>
      <c r="F2" s="3" t="s">
        <v>24</v>
      </c>
      <c r="G2" s="4">
        <v>46176</v>
      </c>
      <c r="H2" s="4">
        <v>46204</v>
      </c>
      <c r="I2" s="3" t="s">
        <v>25</v>
      </c>
      <c r="J2" s="3" t="s">
        <v>26</v>
      </c>
      <c r="K2" s="3" t="s">
        <v>27</v>
      </c>
      <c r="L2" s="3">
        <v>5</v>
      </c>
      <c r="M2">
        <f>SUM(E2:E52)</f>
        <v>412200</v>
      </c>
      <c r="N2">
        <f>AVERAGE(E2:E52)</f>
        <v>8244</v>
      </c>
      <c r="O2">
        <f>MAX(E2:E52)</f>
        <v>45000</v>
      </c>
      <c r="P2">
        <f>MIN(E2:E52)</f>
        <v>900</v>
      </c>
      <c r="Q2">
        <f>COUNT(E2:E52)</f>
        <v>50</v>
      </c>
      <c r="R2" t="s">
        <v>28</v>
      </c>
      <c r="S2" t="s">
        <v>22</v>
      </c>
      <c r="T2">
        <v>50</v>
      </c>
      <c r="U2" s="3">
        <f>AVERAGEIF(J2:J54,"Referral",E2:E54)</f>
        <v>11861.538461538461</v>
      </c>
      <c r="V2" s="3">
        <f>SUMIF(J2:J54,"Referral",E2:E54)</f>
        <v>154200</v>
      </c>
    </row>
    <row r="3" spans="1:22">
      <c r="A3" t="s">
        <v>29</v>
      </c>
      <c r="B3" s="3" t="s">
        <v>30</v>
      </c>
      <c r="C3" s="3" t="s">
        <v>31</v>
      </c>
      <c r="D3" s="3" t="str">
        <f>PROPER(C3)</f>
        <v>Ai Consultation</v>
      </c>
      <c r="E3" s="6">
        <v>4500</v>
      </c>
      <c r="F3" s="3" t="s">
        <v>24</v>
      </c>
      <c r="G3" s="4">
        <v>46177</v>
      </c>
      <c r="H3" s="4">
        <v>46205</v>
      </c>
      <c r="I3" s="3" t="s">
        <v>32</v>
      </c>
      <c r="J3" s="3" t="s">
        <v>33</v>
      </c>
      <c r="K3" s="3" t="s">
        <v>27</v>
      </c>
      <c r="L3" s="3">
        <v>5</v>
      </c>
    </row>
    <row r="4" spans="1:22">
      <c r="A4" t="s">
        <v>34</v>
      </c>
      <c r="B4" s="3" t="s">
        <v>35</v>
      </c>
      <c r="C4" s="3" t="s">
        <v>36</v>
      </c>
      <c r="D4" s="3" t="str">
        <f>PROPER(C4)</f>
        <v>Cyber Security</v>
      </c>
      <c r="E4" s="6">
        <v>8000</v>
      </c>
      <c r="F4" s="3" t="s">
        <v>24</v>
      </c>
      <c r="G4" s="4">
        <v>46178</v>
      </c>
      <c r="H4" s="4">
        <v>46206</v>
      </c>
      <c r="I4" s="3" t="s">
        <v>37</v>
      </c>
      <c r="J4" s="3" t="s">
        <v>38</v>
      </c>
      <c r="K4" s="3" t="s">
        <v>27</v>
      </c>
      <c r="L4" s="3">
        <v>5</v>
      </c>
    </row>
    <row r="5" spans="1:22">
      <c r="A5" t="s">
        <v>39</v>
      </c>
      <c r="B5" s="3" t="s">
        <v>40</v>
      </c>
      <c r="C5" s="3" t="s">
        <v>41</v>
      </c>
      <c r="D5" s="3" t="str">
        <f>PROPER(C5)</f>
        <v>Cloud Computing</v>
      </c>
      <c r="E5" s="6">
        <v>900</v>
      </c>
      <c r="F5" s="3" t="s">
        <v>24</v>
      </c>
      <c r="G5" s="4">
        <v>46179</v>
      </c>
      <c r="H5" s="4">
        <v>46207</v>
      </c>
      <c r="I5" s="3" t="s">
        <v>42</v>
      </c>
      <c r="J5" s="3" t="s">
        <v>43</v>
      </c>
      <c r="K5" s="3" t="s">
        <v>27</v>
      </c>
      <c r="L5" s="3">
        <v>5</v>
      </c>
    </row>
    <row r="6" spans="1:22">
      <c r="A6" t="s">
        <v>44</v>
      </c>
      <c r="B6" s="3" t="s">
        <v>45</v>
      </c>
      <c r="C6" s="3" t="s">
        <v>46</v>
      </c>
      <c r="D6" s="3" t="str">
        <f>PROPER(C6)</f>
        <v>App Development</v>
      </c>
      <c r="E6" s="6">
        <v>3200</v>
      </c>
      <c r="F6" s="3" t="s">
        <v>24</v>
      </c>
      <c r="G6" s="4">
        <v>46180</v>
      </c>
      <c r="H6" s="4">
        <v>46208</v>
      </c>
      <c r="I6" s="3" t="s">
        <v>47</v>
      </c>
      <c r="J6" s="3" t="s">
        <v>48</v>
      </c>
      <c r="K6" s="3" t="s">
        <v>27</v>
      </c>
      <c r="L6" s="3">
        <v>5</v>
      </c>
    </row>
    <row r="7" spans="1:22">
      <c r="A7" t="s">
        <v>49</v>
      </c>
      <c r="B7" s="3" t="s">
        <v>50</v>
      </c>
      <c r="C7" s="3" t="s">
        <v>51</v>
      </c>
      <c r="D7" s="3" t="str">
        <f>PROPER(C7)</f>
        <v>Seo Services</v>
      </c>
      <c r="E7" s="6">
        <v>6000</v>
      </c>
      <c r="F7" s="3" t="s">
        <v>24</v>
      </c>
      <c r="G7" s="4">
        <v>46181</v>
      </c>
      <c r="H7" s="4">
        <v>46209</v>
      </c>
      <c r="I7" s="3" t="s">
        <v>52</v>
      </c>
      <c r="J7" s="3" t="s">
        <v>53</v>
      </c>
      <c r="K7" s="3" t="s">
        <v>27</v>
      </c>
      <c r="L7" s="3">
        <v>5</v>
      </c>
    </row>
    <row r="8" spans="1:22">
      <c r="A8" t="s">
        <v>54</v>
      </c>
      <c r="B8" s="3" t="s">
        <v>55</v>
      </c>
      <c r="C8" s="3" t="s">
        <v>56</v>
      </c>
      <c r="D8" s="3" t="str">
        <f>PROPER(C8)</f>
        <v>It Support</v>
      </c>
      <c r="E8" s="6">
        <v>1500</v>
      </c>
      <c r="F8" s="3" t="s">
        <v>24</v>
      </c>
      <c r="G8" s="4">
        <v>46182</v>
      </c>
      <c r="H8" s="4">
        <v>46210</v>
      </c>
      <c r="I8" s="3" t="s">
        <v>57</v>
      </c>
      <c r="J8" s="3" t="s">
        <v>26</v>
      </c>
      <c r="K8" s="3" t="s">
        <v>27</v>
      </c>
      <c r="L8" s="3">
        <v>5</v>
      </c>
    </row>
    <row r="9" spans="1:22">
      <c r="A9" t="s">
        <v>58</v>
      </c>
      <c r="B9" s="3" t="s">
        <v>59</v>
      </c>
      <c r="C9" s="3" t="s">
        <v>60</v>
      </c>
      <c r="D9" s="3" t="str">
        <f>PROPER(C9)</f>
        <v>Ui/Ux Design</v>
      </c>
      <c r="E9" s="6">
        <v>11000</v>
      </c>
      <c r="F9" s="3" t="s">
        <v>24</v>
      </c>
      <c r="G9" s="4">
        <v>46183</v>
      </c>
      <c r="H9" s="4">
        <v>46211</v>
      </c>
      <c r="I9" s="3" t="s">
        <v>61</v>
      </c>
      <c r="J9" s="3" t="s">
        <v>62</v>
      </c>
      <c r="K9" s="3" t="s">
        <v>27</v>
      </c>
      <c r="L9" s="3">
        <v>5</v>
      </c>
    </row>
    <row r="10" spans="1:22">
      <c r="A10" t="s">
        <v>63</v>
      </c>
      <c r="B10" s="3" t="s">
        <v>64</v>
      </c>
      <c r="C10" s="3" t="s">
        <v>65</v>
      </c>
      <c r="D10" s="3" t="str">
        <f>PROPER(C10)</f>
        <v>E-Commerce Solutions</v>
      </c>
      <c r="E10" s="6">
        <v>1100</v>
      </c>
      <c r="F10" s="3" t="s">
        <v>24</v>
      </c>
      <c r="G10" s="4">
        <v>46184</v>
      </c>
      <c r="H10" s="4">
        <v>46212</v>
      </c>
      <c r="I10" s="3" t="s">
        <v>66</v>
      </c>
      <c r="J10" s="3" t="s">
        <v>67</v>
      </c>
      <c r="K10" s="3" t="s">
        <v>27</v>
      </c>
      <c r="L10" s="3">
        <v>5</v>
      </c>
    </row>
    <row r="11" spans="1:22">
      <c r="A11" t="s">
        <v>68</v>
      </c>
      <c r="B11" s="3" t="s">
        <v>69</v>
      </c>
      <c r="C11" s="3" t="s">
        <v>70</v>
      </c>
      <c r="D11" s="3" t="str">
        <f>PROPER(C11)</f>
        <v>Digital Marketing</v>
      </c>
      <c r="E11" s="6">
        <v>2000</v>
      </c>
      <c r="F11" s="3" t="s">
        <v>24</v>
      </c>
      <c r="G11" s="4">
        <v>46185</v>
      </c>
      <c r="H11" s="4">
        <v>46213</v>
      </c>
      <c r="I11" s="3" t="s">
        <v>71</v>
      </c>
      <c r="J11" s="3" t="s">
        <v>38</v>
      </c>
      <c r="K11" s="3" t="s">
        <v>27</v>
      </c>
      <c r="L11" s="3">
        <v>5</v>
      </c>
    </row>
    <row r="12" spans="1:22">
      <c r="A12" t="s">
        <v>72</v>
      </c>
      <c r="B12" s="3" t="s">
        <v>73</v>
      </c>
      <c r="C12" s="3" t="s">
        <v>74</v>
      </c>
      <c r="D12" s="3" t="str">
        <f>PROPER(C12)</f>
        <v>Software Engineering</v>
      </c>
      <c r="E12" s="6">
        <v>9500</v>
      </c>
      <c r="F12" s="3" t="s">
        <v>24</v>
      </c>
      <c r="G12" s="4">
        <v>46186</v>
      </c>
      <c r="H12" s="4">
        <v>46214</v>
      </c>
      <c r="I12" s="3" t="s">
        <v>75</v>
      </c>
      <c r="J12" s="3" t="s">
        <v>62</v>
      </c>
      <c r="K12" s="3" t="s">
        <v>27</v>
      </c>
      <c r="L12" s="3">
        <v>5</v>
      </c>
    </row>
    <row r="13" spans="1:22">
      <c r="A13" t="s">
        <v>76</v>
      </c>
      <c r="B13" s="3" t="s">
        <v>77</v>
      </c>
      <c r="C13" s="3" t="s">
        <v>78</v>
      </c>
      <c r="D13" s="3" t="str">
        <f>PROPER(C13)</f>
        <v>Game Development</v>
      </c>
      <c r="E13" s="6">
        <v>7000</v>
      </c>
      <c r="F13" s="3" t="s">
        <v>24</v>
      </c>
      <c r="G13" s="4">
        <v>46187</v>
      </c>
      <c r="H13" s="4">
        <v>46215</v>
      </c>
      <c r="I13" s="3" t="s">
        <v>79</v>
      </c>
      <c r="J13" s="3" t="s">
        <v>80</v>
      </c>
      <c r="K13" s="3" t="s">
        <v>27</v>
      </c>
      <c r="L13" s="3">
        <v>5</v>
      </c>
    </row>
    <row r="14" spans="1:22">
      <c r="A14" t="s">
        <v>81</v>
      </c>
      <c r="B14" s="3" t="s">
        <v>82</v>
      </c>
      <c r="C14" s="3" t="s">
        <v>83</v>
      </c>
      <c r="D14" s="3" t="str">
        <f>PROPER(C14)</f>
        <v>Machine Learning</v>
      </c>
      <c r="E14" s="6">
        <v>3800</v>
      </c>
      <c r="F14" s="3" t="s">
        <v>24</v>
      </c>
      <c r="G14" s="4">
        <v>46188</v>
      </c>
      <c r="H14" s="4">
        <v>46216</v>
      </c>
      <c r="I14" s="3" t="s">
        <v>84</v>
      </c>
      <c r="J14" s="3" t="s">
        <v>48</v>
      </c>
      <c r="K14" s="3" t="s">
        <v>27</v>
      </c>
      <c r="L14" s="3">
        <v>5</v>
      </c>
    </row>
    <row r="15" spans="1:22">
      <c r="A15" t="s">
        <v>85</v>
      </c>
      <c r="B15" s="3" t="s">
        <v>86</v>
      </c>
      <c r="C15" s="3" t="s">
        <v>87</v>
      </c>
      <c r="D15" s="3" t="str">
        <f>PROPER(C15)</f>
        <v>Graphic Designing</v>
      </c>
      <c r="E15" s="6">
        <v>15000</v>
      </c>
      <c r="F15" s="3" t="s">
        <v>24</v>
      </c>
      <c r="G15" s="4">
        <v>46189</v>
      </c>
      <c r="H15" s="4">
        <v>46217</v>
      </c>
      <c r="I15" s="3" t="s">
        <v>88</v>
      </c>
      <c r="J15" s="3" t="s">
        <v>26</v>
      </c>
      <c r="K15" s="3" t="s">
        <v>27</v>
      </c>
      <c r="L15" s="3">
        <v>5</v>
      </c>
    </row>
    <row r="16" spans="1:22">
      <c r="A16" t="s">
        <v>89</v>
      </c>
      <c r="B16" s="3" t="s">
        <v>90</v>
      </c>
      <c r="C16" s="3" t="s">
        <v>91</v>
      </c>
      <c r="D16" s="3" t="str">
        <f>PROPER(C16)</f>
        <v>Network Administration</v>
      </c>
      <c r="E16" s="6">
        <v>5500</v>
      </c>
      <c r="F16" s="3" t="s">
        <v>24</v>
      </c>
      <c r="G16" s="4">
        <v>46190</v>
      </c>
      <c r="H16" s="4">
        <v>46218</v>
      </c>
      <c r="I16" s="3" t="s">
        <v>92</v>
      </c>
      <c r="J16" s="3" t="s">
        <v>33</v>
      </c>
      <c r="K16" s="3" t="s">
        <v>27</v>
      </c>
      <c r="L16" s="3">
        <v>5</v>
      </c>
    </row>
    <row r="17" spans="1:12">
      <c r="A17" t="s">
        <v>93</v>
      </c>
      <c r="B17" s="3" t="s">
        <v>94</v>
      </c>
      <c r="C17" s="3" t="s">
        <v>95</v>
      </c>
      <c r="D17" s="3" t="str">
        <f>PROPER(C17)</f>
        <v>It Consulting</v>
      </c>
      <c r="E17" s="6">
        <v>1300</v>
      </c>
      <c r="F17" s="3" t="s">
        <v>24</v>
      </c>
      <c r="G17" s="4">
        <v>46191</v>
      </c>
      <c r="H17" s="4">
        <v>46219</v>
      </c>
      <c r="I17" s="3" t="s">
        <v>96</v>
      </c>
      <c r="J17" s="3" t="s">
        <v>43</v>
      </c>
      <c r="K17" s="3" t="s">
        <v>27</v>
      </c>
      <c r="L17" s="3">
        <v>5</v>
      </c>
    </row>
    <row r="18" spans="1:12">
      <c r="A18" t="s">
        <v>97</v>
      </c>
      <c r="B18" s="3" t="s">
        <v>98</v>
      </c>
      <c r="C18" s="3" t="s">
        <v>99</v>
      </c>
      <c r="D18" s="3" t="str">
        <f>PROPER(C18)</f>
        <v>Business Intelligence</v>
      </c>
      <c r="E18" s="6">
        <v>7200</v>
      </c>
      <c r="F18" s="3" t="s">
        <v>24</v>
      </c>
      <c r="G18" s="4">
        <v>46192</v>
      </c>
      <c r="H18" s="4">
        <v>46220</v>
      </c>
      <c r="I18" s="3" t="s">
        <v>100</v>
      </c>
      <c r="J18" s="3" t="s">
        <v>26</v>
      </c>
      <c r="K18" s="3" t="s">
        <v>27</v>
      </c>
      <c r="L18" s="3">
        <v>5</v>
      </c>
    </row>
    <row r="19" spans="1:12">
      <c r="A19" t="s">
        <v>101</v>
      </c>
      <c r="B19" s="3" t="s">
        <v>102</v>
      </c>
      <c r="C19" s="3" t="s">
        <v>103</v>
      </c>
      <c r="D19" s="3" t="str">
        <f>PROPER(C19)</f>
        <v>Content Strategy</v>
      </c>
      <c r="E19" s="6">
        <v>6500</v>
      </c>
      <c r="F19" s="3" t="s">
        <v>24</v>
      </c>
      <c r="G19" s="4">
        <v>46193</v>
      </c>
      <c r="H19" s="4">
        <v>46221</v>
      </c>
      <c r="I19" s="3" t="s">
        <v>104</v>
      </c>
      <c r="J19" s="3" t="s">
        <v>38</v>
      </c>
      <c r="K19" s="3" t="s">
        <v>27</v>
      </c>
      <c r="L19" s="3">
        <v>5</v>
      </c>
    </row>
    <row r="20" spans="1:12">
      <c r="A20" t="s">
        <v>105</v>
      </c>
      <c r="B20" s="3" t="s">
        <v>106</v>
      </c>
      <c r="C20" s="3" t="s">
        <v>107</v>
      </c>
      <c r="D20" s="3" t="str">
        <f>PROPER(C20)</f>
        <v>Web Design</v>
      </c>
      <c r="E20" s="6">
        <v>12000</v>
      </c>
      <c r="F20" s="3" t="s">
        <v>24</v>
      </c>
      <c r="G20" s="4">
        <v>46194</v>
      </c>
      <c r="H20" s="4">
        <v>46222</v>
      </c>
      <c r="I20" s="3" t="s">
        <v>108</v>
      </c>
      <c r="J20" s="3" t="s">
        <v>26</v>
      </c>
      <c r="K20" s="3" t="s">
        <v>27</v>
      </c>
      <c r="L20" s="3">
        <v>5</v>
      </c>
    </row>
    <row r="21" spans="1:12">
      <c r="A21" t="s">
        <v>109</v>
      </c>
      <c r="B21" s="3" t="s">
        <v>110</v>
      </c>
      <c r="C21" s="3" t="s">
        <v>111</v>
      </c>
      <c r="D21" s="3" t="str">
        <f>PROPER(C21)</f>
        <v>Database Management</v>
      </c>
      <c r="E21" s="6">
        <v>4200</v>
      </c>
      <c r="F21" s="3" t="s">
        <v>24</v>
      </c>
      <c r="G21" s="4">
        <v>46195</v>
      </c>
      <c r="H21" s="4">
        <v>46223</v>
      </c>
      <c r="I21" s="3" t="s">
        <v>112</v>
      </c>
      <c r="J21" s="3" t="s">
        <v>48</v>
      </c>
      <c r="K21" s="3" t="s">
        <v>27</v>
      </c>
      <c r="L21" s="3">
        <v>5</v>
      </c>
    </row>
    <row r="22" spans="1:12">
      <c r="A22" t="s">
        <v>113</v>
      </c>
      <c r="B22" s="3" t="s">
        <v>114</v>
      </c>
      <c r="C22" s="3" t="s">
        <v>115</v>
      </c>
      <c r="D22" s="3" t="str">
        <f>PROPER(C22)</f>
        <v>Cloud Migration</v>
      </c>
      <c r="E22" s="6">
        <v>25000</v>
      </c>
      <c r="F22" s="3" t="s">
        <v>24</v>
      </c>
      <c r="G22" s="4">
        <v>46196</v>
      </c>
      <c r="H22" s="4">
        <v>46224</v>
      </c>
      <c r="I22" s="3" t="s">
        <v>116</v>
      </c>
      <c r="J22" s="3" t="s">
        <v>26</v>
      </c>
      <c r="K22" s="3" t="s">
        <v>27</v>
      </c>
      <c r="L22" s="3">
        <v>5</v>
      </c>
    </row>
    <row r="23" spans="1:12">
      <c r="A23" t="s">
        <v>117</v>
      </c>
      <c r="B23" s="3" t="s">
        <v>118</v>
      </c>
      <c r="C23" s="3" t="s">
        <v>46</v>
      </c>
      <c r="D23" s="3" t="str">
        <f>PROPER(C23)</f>
        <v>App Development</v>
      </c>
      <c r="E23" s="6">
        <v>2800</v>
      </c>
      <c r="F23" s="3" t="s">
        <v>24</v>
      </c>
      <c r="G23" s="4">
        <v>46197</v>
      </c>
      <c r="H23" s="4">
        <v>46225</v>
      </c>
      <c r="I23" s="3" t="s">
        <v>119</v>
      </c>
      <c r="J23" s="3" t="s">
        <v>43</v>
      </c>
      <c r="K23" s="3" t="s">
        <v>27</v>
      </c>
      <c r="L23" s="3">
        <v>5</v>
      </c>
    </row>
    <row r="24" spans="1:12">
      <c r="A24" t="s">
        <v>120</v>
      </c>
      <c r="B24" s="3" t="s">
        <v>121</v>
      </c>
      <c r="C24" s="3" t="s">
        <v>122</v>
      </c>
      <c r="D24" s="3" t="str">
        <f>PROPER(C24)</f>
        <v>Seo Optimization</v>
      </c>
      <c r="E24" s="6">
        <v>2200</v>
      </c>
      <c r="F24" s="3" t="s">
        <v>24</v>
      </c>
      <c r="G24" s="4">
        <v>46198</v>
      </c>
      <c r="H24" s="4">
        <v>46226</v>
      </c>
      <c r="I24" s="3" t="s">
        <v>123</v>
      </c>
      <c r="J24" s="3" t="s">
        <v>53</v>
      </c>
      <c r="K24" s="3" t="s">
        <v>27</v>
      </c>
      <c r="L24" s="3">
        <v>5</v>
      </c>
    </row>
    <row r="25" spans="1:12">
      <c r="A25" t="s">
        <v>124</v>
      </c>
      <c r="B25" s="3" t="s">
        <v>125</v>
      </c>
      <c r="C25" s="3" t="s">
        <v>126</v>
      </c>
      <c r="D25" s="3" t="str">
        <f>PROPER(C25)</f>
        <v>Tech Support</v>
      </c>
      <c r="E25" s="6">
        <v>18000</v>
      </c>
      <c r="F25" s="3" t="s">
        <v>24</v>
      </c>
      <c r="G25" s="4">
        <v>46199</v>
      </c>
      <c r="H25" s="4">
        <v>46227</v>
      </c>
      <c r="I25" s="3" t="s">
        <v>127</v>
      </c>
      <c r="J25" s="3" t="s">
        <v>80</v>
      </c>
      <c r="K25" s="3" t="s">
        <v>27</v>
      </c>
      <c r="L25" s="3">
        <v>5</v>
      </c>
    </row>
    <row r="26" spans="1:12">
      <c r="A26" t="s">
        <v>128</v>
      </c>
      <c r="B26" s="3" t="s">
        <v>129</v>
      </c>
      <c r="C26" s="3" t="s">
        <v>130</v>
      </c>
      <c r="D26" s="3" t="str">
        <f>PROPER(C26)</f>
        <v>E-Commerce Setup</v>
      </c>
      <c r="E26" s="6">
        <v>4500</v>
      </c>
      <c r="F26" s="3" t="s">
        <v>24</v>
      </c>
      <c r="G26" s="4">
        <v>46200</v>
      </c>
      <c r="H26" s="4">
        <v>46228</v>
      </c>
      <c r="I26" s="3" t="s">
        <v>131</v>
      </c>
      <c r="J26" s="3" t="s">
        <v>26</v>
      </c>
      <c r="K26" s="3" t="s">
        <v>27</v>
      </c>
      <c r="L26" s="3">
        <v>5</v>
      </c>
    </row>
    <row r="27" spans="1:12">
      <c r="A27" t="s">
        <v>132</v>
      </c>
      <c r="B27" s="3" t="s">
        <v>133</v>
      </c>
      <c r="C27" s="3" t="s">
        <v>134</v>
      </c>
      <c r="D27" s="3" t="str">
        <f>PROPER(C27)</f>
        <v>Social Media Management</v>
      </c>
      <c r="E27" s="6">
        <v>45000</v>
      </c>
      <c r="F27" s="3" t="s">
        <v>24</v>
      </c>
      <c r="G27" s="4">
        <v>46201</v>
      </c>
      <c r="H27" s="4">
        <v>46229</v>
      </c>
      <c r="I27" s="3" t="s">
        <v>135</v>
      </c>
      <c r="J27" s="3" t="s">
        <v>33</v>
      </c>
      <c r="K27" s="3" t="s">
        <v>27</v>
      </c>
      <c r="L27" s="3">
        <v>5</v>
      </c>
    </row>
    <row r="28" spans="1:12">
      <c r="A28" t="s">
        <v>136</v>
      </c>
      <c r="B28" s="3" t="s">
        <v>137</v>
      </c>
      <c r="C28" s="3" t="s">
        <v>138</v>
      </c>
      <c r="D28" s="3" t="str">
        <f>PROPER(C28)</f>
        <v>Software Testing</v>
      </c>
      <c r="E28" s="6">
        <v>8500</v>
      </c>
      <c r="F28" s="3" t="s">
        <v>24</v>
      </c>
      <c r="G28" s="4">
        <v>46202</v>
      </c>
      <c r="H28" s="4">
        <v>46230</v>
      </c>
      <c r="I28" s="3" t="s">
        <v>139</v>
      </c>
      <c r="J28" s="3" t="s">
        <v>48</v>
      </c>
      <c r="K28" s="3" t="s">
        <v>27</v>
      </c>
      <c r="L28" s="3">
        <v>5</v>
      </c>
    </row>
    <row r="29" spans="1:12">
      <c r="A29" t="s">
        <v>140</v>
      </c>
      <c r="B29" s="3" t="s">
        <v>141</v>
      </c>
      <c r="C29" s="3" t="s">
        <v>142</v>
      </c>
      <c r="D29" s="3" t="str">
        <f>PROPER(C29)</f>
        <v>Ai Integration</v>
      </c>
      <c r="E29" s="6">
        <v>35000</v>
      </c>
      <c r="F29" s="3" t="s">
        <v>24</v>
      </c>
      <c r="G29" s="4">
        <v>46203</v>
      </c>
      <c r="H29" s="4">
        <v>46231</v>
      </c>
      <c r="I29" s="3" t="s">
        <v>143</v>
      </c>
      <c r="J29" s="3" t="s">
        <v>26</v>
      </c>
      <c r="K29" s="3" t="s">
        <v>27</v>
      </c>
      <c r="L29" s="3">
        <v>5</v>
      </c>
    </row>
    <row r="30" spans="1:12">
      <c r="A30" t="s">
        <v>144</v>
      </c>
      <c r="B30" s="3" t="s">
        <v>145</v>
      </c>
      <c r="C30" s="3" t="s">
        <v>146</v>
      </c>
      <c r="D30" s="3" t="str">
        <f>PROPER(C30)</f>
        <v>It Infrastructure</v>
      </c>
      <c r="E30" s="6">
        <v>5800</v>
      </c>
      <c r="F30" s="3" t="s">
        <v>24</v>
      </c>
      <c r="G30" s="4">
        <v>46204</v>
      </c>
      <c r="H30" s="4">
        <v>46232</v>
      </c>
      <c r="I30" s="3" t="s">
        <v>147</v>
      </c>
      <c r="J30" s="3" t="s">
        <v>38</v>
      </c>
      <c r="K30" s="3" t="s">
        <v>27</v>
      </c>
      <c r="L30" s="3">
        <v>5</v>
      </c>
    </row>
    <row r="31" spans="1:12">
      <c r="A31" t="s">
        <v>148</v>
      </c>
      <c r="B31" s="3" t="s">
        <v>149</v>
      </c>
      <c r="C31" s="3" t="s">
        <v>150</v>
      </c>
      <c r="D31" s="3" t="str">
        <f>PROPER(C31)</f>
        <v>Content Writing</v>
      </c>
      <c r="E31" s="6">
        <v>6000</v>
      </c>
      <c r="F31" s="3" t="s">
        <v>24</v>
      </c>
      <c r="G31" s="4">
        <v>46205</v>
      </c>
      <c r="H31" s="4">
        <v>46233</v>
      </c>
      <c r="I31" s="3" t="s">
        <v>151</v>
      </c>
      <c r="J31" s="3" t="s">
        <v>53</v>
      </c>
      <c r="K31" s="3" t="s">
        <v>27</v>
      </c>
      <c r="L31" s="3">
        <v>5</v>
      </c>
    </row>
    <row r="32" spans="1:12">
      <c r="A32" t="s">
        <v>152</v>
      </c>
      <c r="B32" s="3" t="s">
        <v>153</v>
      </c>
      <c r="C32" s="3" t="s">
        <v>154</v>
      </c>
      <c r="D32" s="3" t="str">
        <f>PROPER(C32)</f>
        <v>Backend Development</v>
      </c>
      <c r="E32" s="6">
        <v>4200</v>
      </c>
      <c r="F32" s="3" t="s">
        <v>24</v>
      </c>
      <c r="G32" s="4">
        <v>46206</v>
      </c>
      <c r="H32" s="4">
        <v>46234</v>
      </c>
      <c r="I32" s="3" t="s">
        <v>155</v>
      </c>
      <c r="J32" s="3" t="s">
        <v>62</v>
      </c>
      <c r="K32" s="3" t="s">
        <v>27</v>
      </c>
      <c r="L32" s="3">
        <v>5</v>
      </c>
    </row>
    <row r="33" spans="1:12">
      <c r="A33" t="s">
        <v>156</v>
      </c>
      <c r="B33" s="3" t="s">
        <v>157</v>
      </c>
      <c r="C33" s="3" t="s">
        <v>158</v>
      </c>
      <c r="D33" s="3" t="str">
        <f>PROPER(C33)</f>
        <v>Cloud Storage Solutions</v>
      </c>
      <c r="E33" s="6">
        <v>5500</v>
      </c>
      <c r="F33" s="3" t="s">
        <v>24</v>
      </c>
      <c r="G33" s="4">
        <v>46207</v>
      </c>
      <c r="H33" s="4">
        <v>46235</v>
      </c>
      <c r="I33" s="3" t="s">
        <v>159</v>
      </c>
      <c r="J33" s="3" t="s">
        <v>26</v>
      </c>
      <c r="K33" s="3" t="s">
        <v>27</v>
      </c>
      <c r="L33" s="3">
        <v>5</v>
      </c>
    </row>
    <row r="34" spans="1:12">
      <c r="A34" t="s">
        <v>160</v>
      </c>
      <c r="B34" s="3" t="s">
        <v>161</v>
      </c>
      <c r="C34" s="3" t="s">
        <v>162</v>
      </c>
      <c r="D34" s="3" t="str">
        <f>PROPER(C34)</f>
        <v>Cyber Security Training</v>
      </c>
      <c r="E34" s="6">
        <v>9000</v>
      </c>
      <c r="F34" s="3" t="s">
        <v>24</v>
      </c>
      <c r="G34" s="4">
        <v>46208</v>
      </c>
      <c r="H34" s="4">
        <v>46236</v>
      </c>
      <c r="I34" s="3" t="s">
        <v>163</v>
      </c>
      <c r="J34" s="3" t="s">
        <v>67</v>
      </c>
      <c r="K34" s="3" t="s">
        <v>27</v>
      </c>
      <c r="L34" s="3">
        <v>5</v>
      </c>
    </row>
    <row r="35" spans="1:12">
      <c r="A35" t="s">
        <v>164</v>
      </c>
      <c r="B35" s="3" t="s">
        <v>165</v>
      </c>
      <c r="C35" s="3" t="s">
        <v>166</v>
      </c>
      <c r="D35" s="3" t="str">
        <f>PROPER(C35)</f>
        <v>Mobile App Qa</v>
      </c>
      <c r="E35" s="6">
        <v>1800</v>
      </c>
      <c r="F35" s="3" t="s">
        <v>24</v>
      </c>
      <c r="G35" s="4">
        <v>46209</v>
      </c>
      <c r="H35" s="4">
        <v>46237</v>
      </c>
      <c r="I35" s="3" t="s">
        <v>167</v>
      </c>
      <c r="J35" s="3" t="s">
        <v>43</v>
      </c>
      <c r="K35" s="3" t="s">
        <v>27</v>
      </c>
      <c r="L35" s="3">
        <v>5</v>
      </c>
    </row>
    <row r="36" spans="1:12">
      <c r="A36" t="s">
        <v>168</v>
      </c>
      <c r="B36" s="3" t="s">
        <v>169</v>
      </c>
      <c r="C36" s="3" t="s">
        <v>170</v>
      </c>
      <c r="D36" s="3" t="str">
        <f>PROPER(C36)</f>
        <v>Local Seo</v>
      </c>
      <c r="E36" s="6">
        <v>5200</v>
      </c>
      <c r="F36" s="3" t="s">
        <v>24</v>
      </c>
      <c r="G36" s="4">
        <v>46210</v>
      </c>
      <c r="H36" s="4">
        <v>46238</v>
      </c>
      <c r="I36" s="3" t="s">
        <v>171</v>
      </c>
      <c r="J36" s="3" t="s">
        <v>48</v>
      </c>
      <c r="K36" s="3" t="s">
        <v>27</v>
      </c>
      <c r="L36" s="3">
        <v>5</v>
      </c>
    </row>
    <row r="37" spans="1:12">
      <c r="A37" t="s">
        <v>172</v>
      </c>
      <c r="B37" s="3" t="s">
        <v>173</v>
      </c>
      <c r="C37" s="3" t="s">
        <v>174</v>
      </c>
      <c r="D37" s="3" t="str">
        <f>PROPER(C37)</f>
        <v>Remote It Support</v>
      </c>
      <c r="E37" s="6">
        <v>3000</v>
      </c>
      <c r="F37" s="3" t="s">
        <v>24</v>
      </c>
      <c r="G37" s="4">
        <v>46211</v>
      </c>
      <c r="H37" s="4">
        <v>46239</v>
      </c>
      <c r="I37" s="3" t="s">
        <v>175</v>
      </c>
      <c r="J37" s="3" t="s">
        <v>26</v>
      </c>
      <c r="K37" s="3" t="s">
        <v>27</v>
      </c>
      <c r="L37" s="3">
        <v>5</v>
      </c>
    </row>
    <row r="38" spans="1:12">
      <c r="A38" t="s">
        <v>176</v>
      </c>
      <c r="B38" s="3" t="s">
        <v>177</v>
      </c>
      <c r="C38" s="3" t="s">
        <v>178</v>
      </c>
      <c r="D38" s="3" t="str">
        <f>PROPER(C38)</f>
        <v>Product Prototyping</v>
      </c>
      <c r="E38" s="6">
        <v>4100</v>
      </c>
      <c r="F38" s="3" t="s">
        <v>24</v>
      </c>
      <c r="G38" s="4">
        <v>46212</v>
      </c>
      <c r="H38" s="4">
        <v>46240</v>
      </c>
      <c r="I38" s="3" t="s">
        <v>179</v>
      </c>
      <c r="J38" s="3" t="s">
        <v>62</v>
      </c>
      <c r="K38" s="3" t="s">
        <v>27</v>
      </c>
      <c r="L38" s="3">
        <v>5</v>
      </c>
    </row>
    <row r="39" spans="1:12">
      <c r="A39" t="s">
        <v>180</v>
      </c>
      <c r="B39" s="3" t="s">
        <v>181</v>
      </c>
      <c r="C39" s="3" t="s">
        <v>182</v>
      </c>
      <c r="D39" s="3" t="str">
        <f>PROPER(C39)</f>
        <v xml:space="preserve">Digital Transformation </v>
      </c>
      <c r="E39" s="6">
        <v>12000</v>
      </c>
      <c r="F39" s="3" t="s">
        <v>24</v>
      </c>
      <c r="G39" s="4">
        <v>46213</v>
      </c>
      <c r="H39" s="4">
        <v>46241</v>
      </c>
      <c r="I39" s="3" t="s">
        <v>183</v>
      </c>
      <c r="J39" s="3" t="s">
        <v>33</v>
      </c>
      <c r="K39" s="3" t="s">
        <v>27</v>
      </c>
      <c r="L39" s="3">
        <v>5</v>
      </c>
    </row>
    <row r="40" spans="1:12">
      <c r="A40" t="s">
        <v>184</v>
      </c>
      <c r="B40" s="3" t="s">
        <v>185</v>
      </c>
      <c r="C40" s="3" t="s">
        <v>186</v>
      </c>
      <c r="D40" s="3" t="str">
        <f>PROPER(C40)</f>
        <v>Data Engineering</v>
      </c>
      <c r="E40" s="6">
        <v>8500</v>
      </c>
      <c r="F40" s="3" t="s">
        <v>24</v>
      </c>
      <c r="G40" s="4">
        <v>46214</v>
      </c>
      <c r="H40" s="4">
        <v>46242</v>
      </c>
      <c r="I40" s="3" t="s">
        <v>187</v>
      </c>
      <c r="J40" s="3" t="s">
        <v>26</v>
      </c>
      <c r="K40" s="3" t="s">
        <v>27</v>
      </c>
      <c r="L40" s="3">
        <v>5</v>
      </c>
    </row>
    <row r="41" spans="1:12">
      <c r="A41" t="s">
        <v>188</v>
      </c>
      <c r="B41" s="3" t="s">
        <v>189</v>
      </c>
      <c r="C41" s="3" t="s">
        <v>190</v>
      </c>
      <c r="D41" s="3" t="str">
        <f>PROPER(C41)</f>
        <v>Predictive Modeling</v>
      </c>
      <c r="E41" s="6">
        <v>7000</v>
      </c>
      <c r="F41" s="3" t="s">
        <v>24</v>
      </c>
      <c r="G41" s="4">
        <v>46215</v>
      </c>
      <c r="H41" s="4">
        <v>46243</v>
      </c>
      <c r="I41" s="3" t="s">
        <v>191</v>
      </c>
      <c r="J41" s="3" t="s">
        <v>53</v>
      </c>
      <c r="K41" s="3" t="s">
        <v>27</v>
      </c>
      <c r="L41" s="3">
        <v>5</v>
      </c>
    </row>
    <row r="42" spans="1:12">
      <c r="A42" t="s">
        <v>192</v>
      </c>
      <c r="B42" s="3" t="s">
        <v>193</v>
      </c>
      <c r="C42" s="3" t="s">
        <v>194</v>
      </c>
      <c r="D42" s="3" t="str">
        <f>PROPER(C42)</f>
        <v>Devops Pipeline Setup</v>
      </c>
      <c r="E42" s="6">
        <v>5000</v>
      </c>
      <c r="F42" s="3" t="s">
        <v>24</v>
      </c>
      <c r="G42" s="4">
        <v>46216</v>
      </c>
      <c r="H42" s="4">
        <v>46244</v>
      </c>
      <c r="I42" s="3" t="s">
        <v>195</v>
      </c>
      <c r="J42" s="3" t="s">
        <v>43</v>
      </c>
      <c r="K42" s="3" t="s">
        <v>27</v>
      </c>
      <c r="L42" s="3">
        <v>5</v>
      </c>
    </row>
    <row r="43" spans="1:12">
      <c r="A43" t="s">
        <v>196</v>
      </c>
      <c r="B43" s="3" t="s">
        <v>197</v>
      </c>
      <c r="C43" s="3" t="s">
        <v>198</v>
      </c>
      <c r="D43" s="3" t="str">
        <f>PROPER(C43)</f>
        <v>Blockchain Development</v>
      </c>
      <c r="E43" s="6">
        <v>14000</v>
      </c>
      <c r="F43" s="3" t="s">
        <v>24</v>
      </c>
      <c r="G43" s="4">
        <v>46217</v>
      </c>
      <c r="H43" s="4">
        <v>46245</v>
      </c>
      <c r="I43" s="3" t="s">
        <v>199</v>
      </c>
      <c r="J43" s="3" t="s">
        <v>80</v>
      </c>
      <c r="K43" s="3" t="s">
        <v>27</v>
      </c>
      <c r="L43" s="3">
        <v>5</v>
      </c>
    </row>
    <row r="44" spans="1:12">
      <c r="A44" t="s">
        <v>200</v>
      </c>
      <c r="B44" s="3" t="s">
        <v>201</v>
      </c>
      <c r="C44" s="3" t="s">
        <v>202</v>
      </c>
      <c r="D44" s="3" t="str">
        <f>PROPER(C44)</f>
        <v>Api Integration Services</v>
      </c>
      <c r="E44" s="6">
        <v>4800</v>
      </c>
      <c r="F44" s="3" t="s">
        <v>24</v>
      </c>
      <c r="G44" s="4">
        <v>46218</v>
      </c>
      <c r="H44" s="4">
        <v>46246</v>
      </c>
      <c r="I44" s="3" t="s">
        <v>203</v>
      </c>
      <c r="J44" s="3" t="s">
        <v>62</v>
      </c>
      <c r="K44" s="3" t="s">
        <v>27</v>
      </c>
      <c r="L44" s="3">
        <v>5</v>
      </c>
    </row>
    <row r="45" spans="1:12">
      <c r="A45" t="s">
        <v>204</v>
      </c>
      <c r="B45" s="3" t="s">
        <v>205</v>
      </c>
      <c r="C45" s="3" t="s">
        <v>206</v>
      </c>
      <c r="D45" s="3" t="str">
        <f>PROPER(C45)</f>
        <v>It Disaster Recovery</v>
      </c>
      <c r="E45" s="6">
        <v>12500</v>
      </c>
      <c r="F45" s="3" t="s">
        <v>24</v>
      </c>
      <c r="G45" s="4">
        <v>46219</v>
      </c>
      <c r="H45" s="4">
        <v>46247</v>
      </c>
      <c r="I45" s="3" t="s">
        <v>207</v>
      </c>
      <c r="J45" s="3" t="s">
        <v>26</v>
      </c>
      <c r="K45" s="3" t="s">
        <v>27</v>
      </c>
      <c r="L45" s="3">
        <v>5</v>
      </c>
    </row>
    <row r="46" spans="1:12">
      <c r="A46" t="s">
        <v>208</v>
      </c>
      <c r="B46" s="3" t="s">
        <v>209</v>
      </c>
      <c r="C46" s="3" t="s">
        <v>210</v>
      </c>
      <c r="D46" s="3" t="str">
        <f>PROPER(C46)</f>
        <v>Erp System Implementation</v>
      </c>
      <c r="E46" s="6">
        <v>3500</v>
      </c>
      <c r="F46" s="3" t="s">
        <v>24</v>
      </c>
      <c r="G46" s="4">
        <v>46220</v>
      </c>
      <c r="H46" s="4">
        <v>46248</v>
      </c>
      <c r="I46" s="3" t="s">
        <v>211</v>
      </c>
      <c r="J46" s="3" t="s">
        <v>48</v>
      </c>
      <c r="K46" s="3" t="s">
        <v>27</v>
      </c>
      <c r="L46" s="3">
        <v>5</v>
      </c>
    </row>
    <row r="47" spans="1:12">
      <c r="A47" t="s">
        <v>212</v>
      </c>
      <c r="B47" s="3" t="s">
        <v>213</v>
      </c>
      <c r="C47" s="3" t="s">
        <v>214</v>
      </c>
      <c r="D47" s="3" t="str">
        <f>PROPER(C47)</f>
        <v>Business Automation</v>
      </c>
      <c r="E47" s="6">
        <v>6200</v>
      </c>
      <c r="F47" s="3" t="s">
        <v>24</v>
      </c>
      <c r="G47" s="4">
        <v>46221</v>
      </c>
      <c r="H47" s="4">
        <v>46249</v>
      </c>
      <c r="I47" s="3" t="s">
        <v>215</v>
      </c>
      <c r="J47" s="3" t="s">
        <v>38</v>
      </c>
      <c r="K47" s="3" t="s">
        <v>27</v>
      </c>
      <c r="L47" s="3">
        <v>5</v>
      </c>
    </row>
    <row r="48" spans="1:12">
      <c r="A48" t="s">
        <v>216</v>
      </c>
      <c r="B48" s="3" t="s">
        <v>217</v>
      </c>
      <c r="C48" s="3" t="s">
        <v>218</v>
      </c>
      <c r="D48" s="3" t="str">
        <f>PROPER(C48)</f>
        <v>Generative Ai Solutions</v>
      </c>
      <c r="E48" s="6">
        <v>8800</v>
      </c>
      <c r="F48" s="3" t="s">
        <v>24</v>
      </c>
      <c r="G48" s="4">
        <v>46222</v>
      </c>
      <c r="H48" s="4">
        <v>46250</v>
      </c>
      <c r="I48" s="3" t="s">
        <v>219</v>
      </c>
      <c r="J48" s="3" t="s">
        <v>33</v>
      </c>
      <c r="K48" s="3" t="s">
        <v>27</v>
      </c>
      <c r="L48" s="3">
        <v>5</v>
      </c>
    </row>
    <row r="49" spans="1:12">
      <c r="A49" t="s">
        <v>220</v>
      </c>
      <c r="B49" s="3" t="s">
        <v>221</v>
      </c>
      <c r="C49" s="3" t="s">
        <v>222</v>
      </c>
      <c r="D49" s="3" t="str">
        <f>PROPER(C49)</f>
        <v>Big Data Analytics</v>
      </c>
      <c r="E49" s="6">
        <v>4400</v>
      </c>
      <c r="F49" s="3" t="s">
        <v>24</v>
      </c>
      <c r="G49" s="4">
        <v>46223</v>
      </c>
      <c r="H49" s="4">
        <v>46251</v>
      </c>
      <c r="I49" s="3" t="s">
        <v>223</v>
      </c>
      <c r="J49" s="3" t="s">
        <v>43</v>
      </c>
      <c r="K49" s="3" t="s">
        <v>27</v>
      </c>
      <c r="L49" s="3">
        <v>5</v>
      </c>
    </row>
    <row r="50" spans="1:12">
      <c r="A50" t="s">
        <v>224</v>
      </c>
      <c r="B50" s="3" t="s">
        <v>225</v>
      </c>
      <c r="C50" s="3" t="s">
        <v>226</v>
      </c>
      <c r="D50" s="3" t="str">
        <f>PROPER(C50)</f>
        <v>Natural Language Processing</v>
      </c>
      <c r="E50" s="6">
        <v>22000</v>
      </c>
      <c r="F50" s="3" t="s">
        <v>24</v>
      </c>
      <c r="G50" s="4">
        <v>46224</v>
      </c>
      <c r="H50" s="4">
        <v>46252</v>
      </c>
      <c r="I50" s="3" t="s">
        <v>227</v>
      </c>
      <c r="J50" s="3" t="s">
        <v>26</v>
      </c>
      <c r="K50" s="3" t="s">
        <v>27</v>
      </c>
      <c r="L50" s="3">
        <v>5</v>
      </c>
    </row>
    <row r="51" spans="1:12">
      <c r="A51" t="s">
        <v>228</v>
      </c>
      <c r="B51" t="s">
        <v>229</v>
      </c>
      <c r="C51" t="s">
        <v>230</v>
      </c>
      <c r="D51" s="3" t="str">
        <f>PROPER(C51)</f>
        <v>Wev Development</v>
      </c>
      <c r="E51" s="6">
        <v>5200</v>
      </c>
      <c r="F51" s="3" t="s">
        <v>24</v>
      </c>
      <c r="G51" s="4">
        <v>46225</v>
      </c>
      <c r="H51" s="4">
        <v>46253</v>
      </c>
      <c r="I51" s="3" t="s">
        <v>231</v>
      </c>
      <c r="J51" s="3" t="s">
        <v>62</v>
      </c>
      <c r="K51" s="3" t="s">
        <v>27</v>
      </c>
      <c r="L51" s="3">
        <v>5</v>
      </c>
    </row>
  </sheetData>
  <autoFilter ref="A1:V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alidada999-1@outlook.com</dc:creator>
  <cp:lastModifiedBy>alidada999-1@outlook.com</cp:lastModifiedBy>
  <dcterms:created xsi:type="dcterms:W3CDTF">2026-06-10T12:50:00Z</dcterms:created>
  <dcterms:modified xsi:type="dcterms:W3CDTF">2026-06-10T14:08:20Z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75C02923A559473E8F7E3F75B6BA3DCD_13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